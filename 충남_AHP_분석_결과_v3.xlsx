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데이터" sheetId="1" state="visible" r:id="rId1"/>
    <sheet xmlns:r="http://schemas.openxmlformats.org/officeDocument/2006/relationships" name="AHP분석결과" sheetId="2" state="visible" r:id="rId2"/>
    <sheet xmlns:r="http://schemas.openxmlformats.org/officeDocument/2006/relationships" name="종합순위" sheetId="3" state="visible" r:id="rId3"/>
    <sheet xmlns:r="http://schemas.openxmlformats.org/officeDocument/2006/relationships" name="차트1_핵심가치막대" sheetId="4" state="visible" r:id="rId4"/>
    <sheet xmlns:r="http://schemas.openxmlformats.org/officeDocument/2006/relationships" name="차트2_핵심가치파이" sheetId="5" state="visible" r:id="rId5"/>
    <sheet xmlns:r="http://schemas.openxmlformats.org/officeDocument/2006/relationships" name="차트3_핵심가치레이더" sheetId="6" state="visible" r:id="rId6"/>
    <sheet xmlns:r="http://schemas.openxmlformats.org/officeDocument/2006/relationships" name="차트4_글로벌가중치" sheetId="7" state="visible" r:id="rId7"/>
    <sheet xmlns:r="http://schemas.openxmlformats.org/officeDocument/2006/relationships" name="차트5_자립성" sheetId="8" state="visible" r:id="rId8"/>
    <sheet xmlns:r="http://schemas.openxmlformats.org/officeDocument/2006/relationships" name="차트6_연계성" sheetId="9" state="visible" r:id="rId9"/>
    <sheet xmlns:r="http://schemas.openxmlformats.org/officeDocument/2006/relationships" name="차트7_실용성" sheetId="10" state="visible" r:id="rId10"/>
    <sheet xmlns:r="http://schemas.openxmlformats.org/officeDocument/2006/relationships" name="차트8_포용성" sheetId="11" state="visible" r:id="rId11"/>
    <sheet xmlns:r="http://schemas.openxmlformats.org/officeDocument/2006/relationships" name="차트9_지속가능성" sheetId="12" state="visible" r:id="rId12"/>
    <sheet xmlns:r="http://schemas.openxmlformats.org/officeDocument/2006/relationships" name="차트10_확장성" sheetId="13" state="visible" r:id="rId13"/>
    <sheet xmlns:r="http://schemas.openxmlformats.org/officeDocument/2006/relationships" name="한계및결론" sheetId="14" state="visible" r:id="rId14"/>
    <sheet xmlns:r="http://schemas.openxmlformats.org/officeDocument/2006/relationships" name="사용안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FFFFFF"/>
      <sz val="8"/>
    </font>
    <font>
      <name val="맑은 고딕"/>
      <b val="1"/>
      <sz val="10"/>
    </font>
    <font>
      <name val="맑은 고딕"/>
      <b val="1"/>
      <color rgb="001F4E79"/>
      <sz val="11"/>
    </font>
    <font>
      <name val="맑은 고딕"/>
      <b val="1"/>
      <color rgb="0027AE60"/>
      <sz val="11"/>
    </font>
    <font>
      <name val="맑은 고딕"/>
      <b val="1"/>
      <color rgb="00C0392B"/>
      <sz val="11"/>
    </font>
  </fonts>
  <fills count="11">
    <fill>
      <patternFill/>
    </fill>
    <fill>
      <patternFill patternType="gray125"/>
    </fill>
    <fill>
      <patternFill patternType="solid">
        <fgColor rgb="008E44AD"/>
        <bgColor rgb="008E44AD"/>
      </patternFill>
    </fill>
    <fill>
      <patternFill patternType="solid">
        <fgColor rgb="002E86C1"/>
        <bgColor rgb="002E86C1"/>
      </patternFill>
    </fill>
    <fill>
      <patternFill patternType="solid">
        <fgColor rgb="0027AE60"/>
        <bgColor rgb="0027AE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8DAEF"/>
        <bgColor rgb="00E8DAE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제1계층 핵심가치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'종합순위'!$A$5:$A$10</f>
            </numRef>
          </cat>
          <val>
            <numRef>
              <f>'종합순위'!$B$5:$B$10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핵심가치 비중</a:t>
            </a:r>
          </a:p>
        </rich>
      </tx>
    </title>
    <plotArea>
      <pieChart>
        <varyColors val="1"/>
        <ser>
          <idx val="0"/>
          <order val="0"/>
          <tx>
            <strRef>
              <f>'종합순위'!B4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'종합순위'!$A$5:$A$10</f>
            </numRef>
          </cat>
          <val>
            <numRef>
              <f>'종합순위'!$B$5:$B$10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핵심가치 레이더 차트</a:t>
            </a:r>
          </a:p>
        </rich>
      </tx>
    </title>
    <plotArea>
      <radarChart>
        <radarStyle val="marker"/>
        <ser>
          <idx val="0"/>
          <order val="0"/>
          <tx>
            <strRef>
              <f>'종합순위'!B4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'종합순위'!$A$5:$A$10</f>
            </numRef>
          </cat>
          <val>
            <numRef>
              <f>'종합순위'!$B$5:$B$10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종합 글로벌 가중치 (18개 정책요인)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'종합순위'!E13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'종합순위'!$B$14:$B$31</f>
            </numRef>
          </cat>
          <val>
            <numRef>
              <f>'종합순위'!$E$14:$E$31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글로벌 가중치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자립성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'종합순위'!$B$14:$B$16</f>
            </numRef>
          </cat>
          <val>
            <numRef>
              <f>'종합순위'!$C$14:$C$16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연계성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'종합순위'!$B$17:$B$19</f>
            </numRef>
          </cat>
          <val>
            <numRef>
              <f>'종합순위'!$C$17:$C$19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실용성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'종합순위'!C19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'종합순위'!$B$20:$B$22</f>
            </numRef>
          </cat>
          <val>
            <numRef>
              <f>'종합순위'!$C$20:$C$22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포용성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'종합순위'!C22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'종합순위'!$B$23:$B$25</f>
            </numRef>
          </cat>
          <val>
            <numRef>
              <f>'종합순위'!$C$23:$C$25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지속가능성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'종합순위'!C25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'종합순위'!$B$26:$B$28</f>
            </numRef>
          </cat>
          <val>
            <numRef>
              <f>'종합순위'!$C$26:$C$28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확장성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'종합순위'!$B$29:$B$31</f>
            </numRef>
          </cat>
          <val>
            <numRef>
              <f>'종합순위'!$C$29:$C$31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520000" cy="86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12" customWidth="1" min="5" max="5"/>
    <col width="24" customWidth="1" min="6" max="6"/>
    <col width="12" customWidth="1" min="7" max="7"/>
    <col width="8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AHP 설문 응답 데이터 입력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30" t="n"/>
    </row>
    <row r="2" ht="35" customHeight="1">
      <c r="A2" s="2" t="inlineStr">
        <is>
          <t>CSV 파일의 데이터를 아래에 붙여넣으세요. 각 행이 한 명의 응답자입니다. 노란색 셀에 쌍대비교값을 입력합니다. (왼쪽 중요: 1~9, 오른쪽 중요: 1/3~1/9)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30" t="n"/>
    </row>
    <row r="3">
      <c r="A3" s="3" t="inlineStr">
        <is>
          <t>응답자 일반사항</t>
        </is>
      </c>
      <c r="B3" s="29" t="n"/>
      <c r="C3" s="29" t="n"/>
      <c r="D3" s="29" t="n"/>
      <c r="E3" s="29" t="n"/>
      <c r="F3" s="29" t="n"/>
      <c r="G3" s="29" t="n"/>
      <c r="H3" s="29" t="n"/>
      <c r="I3" s="30" t="n"/>
      <c r="J3" s="4" t="inlineStr">
        <is>
          <t>제1계층: 핵심가치 간 비교 (15쌍)</t>
        </is>
      </c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30" t="n"/>
      <c r="Y3" s="5" t="inlineStr">
        <is>
          <t>자립성 (3쌍)</t>
        </is>
      </c>
      <c r="Z3" s="29" t="n"/>
      <c r="AA3" s="30" t="n"/>
      <c r="AB3" s="5" t="inlineStr">
        <is>
          <t>연계성 (3쌍)</t>
        </is>
      </c>
      <c r="AC3" s="29" t="n"/>
      <c r="AD3" s="30" t="n"/>
      <c r="AE3" s="5" t="inlineStr">
        <is>
          <t>실용성 (3쌍)</t>
        </is>
      </c>
      <c r="AF3" s="29" t="n"/>
      <c r="AG3" s="30" t="n"/>
      <c r="AH3" s="5" t="inlineStr">
        <is>
          <t>포용성 (3쌍)</t>
        </is>
      </c>
      <c r="AI3" s="29" t="n"/>
      <c r="AJ3" s="30" t="n"/>
      <c r="AK3" s="5" t="inlineStr">
        <is>
          <t>지속가능성 (3쌍)</t>
        </is>
      </c>
      <c r="AL3" s="29" t="n"/>
      <c r="AM3" s="30" t="n"/>
      <c r="AN3" s="5" t="inlineStr">
        <is>
          <t>확장성 (3쌍)</t>
        </is>
      </c>
      <c r="AO3" s="29" t="n"/>
      <c r="AP3" s="30" t="n"/>
    </row>
    <row r="4">
      <c r="A4" s="3" t="inlineStr">
        <is>
          <t>응답자</t>
        </is>
      </c>
      <c r="B4" s="3" t="inlineStr">
        <is>
          <t>응답일시</t>
        </is>
      </c>
      <c r="C4" s="3" t="inlineStr">
        <is>
          <t>소속유형</t>
        </is>
      </c>
      <c r="D4" s="3" t="inlineStr">
        <is>
          <t>소속기관</t>
        </is>
      </c>
      <c r="E4" s="3" t="inlineStr">
        <is>
          <t>직위</t>
        </is>
      </c>
      <c r="F4" s="3" t="inlineStr">
        <is>
          <t>관심분야</t>
        </is>
      </c>
      <c r="G4" s="3" t="inlineStr">
        <is>
          <t>경력</t>
        </is>
      </c>
      <c r="H4" s="3" t="inlineStr">
        <is>
          <t>성별</t>
        </is>
      </c>
      <c r="I4" s="3" t="inlineStr">
        <is>
          <t>연락처</t>
        </is>
      </c>
      <c r="J4" s="6" t="inlineStr">
        <is>
          <t>자립성 vs 연계성</t>
        </is>
      </c>
      <c r="K4" s="6" t="inlineStr">
        <is>
          <t>자립성 vs 실용성</t>
        </is>
      </c>
      <c r="L4" s="6" t="inlineStr">
        <is>
          <t>자립성 vs 포용성</t>
        </is>
      </c>
      <c r="M4" s="6" t="inlineStr">
        <is>
          <t>자립성 vs 지속가능성</t>
        </is>
      </c>
      <c r="N4" s="6" t="inlineStr">
        <is>
          <t>자립성 vs 확장성</t>
        </is>
      </c>
      <c r="O4" s="6" t="inlineStr">
        <is>
          <t>연계성 vs 실용성</t>
        </is>
      </c>
      <c r="P4" s="6" t="inlineStr">
        <is>
          <t>연계성 vs 포용성</t>
        </is>
      </c>
      <c r="Q4" s="6" t="inlineStr">
        <is>
          <t>연계성 vs 지속가능성</t>
        </is>
      </c>
      <c r="R4" s="6" t="inlineStr">
        <is>
          <t>연계성 vs 확장성</t>
        </is>
      </c>
      <c r="S4" s="6" t="inlineStr">
        <is>
          <t>실용성 vs 포용성</t>
        </is>
      </c>
      <c r="T4" s="6" t="inlineStr">
        <is>
          <t>실용성 vs 지속가능성</t>
        </is>
      </c>
      <c r="U4" s="6" t="inlineStr">
        <is>
          <t>실용성 vs 확장성</t>
        </is>
      </c>
      <c r="V4" s="6" t="inlineStr">
        <is>
          <t>포용성 vs 지속가능성</t>
        </is>
      </c>
      <c r="W4" s="6" t="inlineStr">
        <is>
          <t>포용성 vs 확장성</t>
        </is>
      </c>
      <c r="X4" s="6" t="inlineStr">
        <is>
          <t>지속가능성 vs 확장성</t>
        </is>
      </c>
      <c r="Y4" s="6" t="inlineStr">
        <is>
          <t>[자립성] 지역 R&amp;D 역량 강화 vs 지역기업 기술흡수역량 강화</t>
        </is>
      </c>
      <c r="Z4" s="6" t="inlineStr">
        <is>
          <t>[자립성] 지역 R&amp;D 역량 강화 vs 지역혁신 인재양성</t>
        </is>
      </c>
      <c r="AA4" s="6" t="inlineStr">
        <is>
          <t>[자립성] 지역기업 기술흡수역량 강화 vs 지역혁신 인재양성</t>
        </is>
      </c>
      <c r="AB4" s="6" t="inlineStr">
        <is>
          <t>[연계성] 산·학·연·관 협력 강화 vs 기업 간 네트워크 활성화</t>
        </is>
      </c>
      <c r="AC4" s="6" t="inlineStr">
        <is>
          <t>[연계성] 산·학·연·관 협력 강화 vs 중간지원기관 조정 기능 강화</t>
        </is>
      </c>
      <c r="AD4" s="6" t="inlineStr">
        <is>
          <t>[연계성] 기업 간 네트워크 활성화 vs 중간지원기관 조정 기능 강화</t>
        </is>
      </c>
      <c r="AE4" s="6" t="inlineStr">
        <is>
          <t>[실용성] 기술사업화 지원 vs 기업 기술애로 해결</t>
        </is>
      </c>
      <c r="AF4" s="6" t="inlineStr">
        <is>
          <t>[실용성] 기술사업화 지원 vs 매출·고용 창출 연계</t>
        </is>
      </c>
      <c r="AG4" s="6" t="inlineStr">
        <is>
          <t>[실용성] 기업 기술애로 해결 vs 매출·고용 창출 연계</t>
        </is>
      </c>
      <c r="AH4" s="6" t="inlineStr">
        <is>
          <t>[포용성] 중소기업 정책 접근성 강화 vs 청년·창업기업 참여 확대</t>
        </is>
      </c>
      <c r="AI4" s="6" t="inlineStr">
        <is>
          <t>[포용성] 중소기업 정책 접근성 강화 vs 지역대학 및 지역사회 참여 확대</t>
        </is>
      </c>
      <c r="AJ4" s="6" t="inlineStr">
        <is>
          <t>[포용성] 청년·창업기업 참여 확대 vs 지역대학 및 지역사회 참여 확대</t>
        </is>
      </c>
      <c r="AK4" s="6" t="inlineStr">
        <is>
          <t>[지속가능성] 정책 연속성 확보 vs 혁신거버넌스 안정화</t>
        </is>
      </c>
      <c r="AL4" s="6" t="inlineStr">
        <is>
          <t>[지속가능성] 정책 연속성 확보 vs 혁신인프라 유지·고도화</t>
        </is>
      </c>
      <c r="AM4" s="6" t="inlineStr">
        <is>
          <t>[지속가능성] 혁신거버넌스 안정화 vs 혁신인프라 유지·고도화</t>
        </is>
      </c>
      <c r="AN4" s="6" t="inlineStr">
        <is>
          <t>[확장성] 외부 지식·기술 연계 vs 글로벌 시장 진출 지원</t>
        </is>
      </c>
      <c r="AO4" s="6" t="inlineStr">
        <is>
          <t>[확장성] 외부 지식·기술 연계 vs 신산업 전환 및 확산</t>
        </is>
      </c>
      <c r="AP4" s="6" t="inlineStr">
        <is>
          <t>[확장성] 글로벌 시장 진출 지원 vs 신산업 전환 및 확산</t>
        </is>
      </c>
    </row>
    <row r="5">
      <c r="A5" s="7" t="inlineStr">
        <is>
          <t>응답자1</t>
        </is>
      </c>
      <c r="B5" s="8" t="inlineStr">
        <is>
          <t>2026-05-18 10:00</t>
        </is>
      </c>
      <c r="C5" s="8" t="inlineStr">
        <is>
          <t>대학 및 출연연</t>
        </is>
      </c>
      <c r="D5" s="8" t="inlineStr">
        <is>
          <t>단국대학교</t>
        </is>
      </c>
      <c r="E5" s="8" t="inlineStr">
        <is>
          <t>연구자/교수</t>
        </is>
      </c>
      <c r="F5" s="8" t="inlineStr">
        <is>
          <t>지역혁신정책;연구개발</t>
        </is>
      </c>
      <c r="G5" s="8" t="inlineStr">
        <is>
          <t>15년 이상</t>
        </is>
      </c>
      <c r="H5" s="8" t="inlineStr">
        <is>
          <t>남성</t>
        </is>
      </c>
      <c r="I5" s="8" t="inlineStr">
        <is>
          <t>010-1234-5678</t>
        </is>
      </c>
      <c r="J5" s="9" t="n">
        <v>3</v>
      </c>
      <c r="K5" s="9" t="n">
        <v>5</v>
      </c>
      <c r="L5" s="9" t="n">
        <v>7</v>
      </c>
      <c r="M5" s="9" t="n">
        <v>3</v>
      </c>
      <c r="N5" s="9" t="n">
        <v>5</v>
      </c>
      <c r="O5" s="9" t="n">
        <v>3</v>
      </c>
      <c r="P5" s="9" t="n">
        <v>5</v>
      </c>
      <c r="Q5" s="9" t="n">
        <v>1</v>
      </c>
      <c r="R5" s="9" t="n">
        <v>3</v>
      </c>
      <c r="S5" s="9" t="n">
        <v>3</v>
      </c>
      <c r="T5" s="9" t="n">
        <v>0.3333</v>
      </c>
      <c r="U5" s="9" t="n">
        <v>1</v>
      </c>
      <c r="V5" s="9" t="n">
        <v>0.3333</v>
      </c>
      <c r="W5" s="9" t="n">
        <v>0.3333</v>
      </c>
      <c r="X5" s="9" t="n">
        <v>1</v>
      </c>
      <c r="Y5" s="9" t="n">
        <v>3</v>
      </c>
      <c r="Z5" s="9" t="n">
        <v>5</v>
      </c>
      <c r="AA5" s="9" t="n">
        <v>3</v>
      </c>
      <c r="AB5" s="9" t="n">
        <v>3</v>
      </c>
      <c r="AC5" s="9" t="n">
        <v>5</v>
      </c>
      <c r="AD5" s="9" t="n">
        <v>3</v>
      </c>
      <c r="AE5" s="9" t="n">
        <v>1</v>
      </c>
      <c r="AF5" s="9" t="n">
        <v>3</v>
      </c>
      <c r="AG5" s="9" t="n">
        <v>3</v>
      </c>
      <c r="AH5" s="9" t="n">
        <v>3</v>
      </c>
      <c r="AI5" s="9" t="n">
        <v>1</v>
      </c>
      <c r="AJ5" s="9" t="n">
        <v>0.3333</v>
      </c>
      <c r="AK5" s="9" t="n">
        <v>3</v>
      </c>
      <c r="AL5" s="9" t="n">
        <v>5</v>
      </c>
      <c r="AM5" s="9" t="n">
        <v>3</v>
      </c>
      <c r="AN5" s="9" t="n">
        <v>0.3333</v>
      </c>
      <c r="AO5" s="9" t="n">
        <v>1</v>
      </c>
      <c r="AP5" s="9" t="n">
        <v>3</v>
      </c>
    </row>
    <row r="6">
      <c r="A6" s="7" t="inlineStr">
        <is>
          <t>응답자2</t>
        </is>
      </c>
      <c r="B6" s="8" t="inlineStr">
        <is>
          <t>2026-05-18 11:00</t>
        </is>
      </c>
      <c r="C6" s="8" t="inlineStr">
        <is>
          <t>기업</t>
        </is>
      </c>
      <c r="D6" s="8" t="inlineStr">
        <is>
          <t>삼성전자</t>
        </is>
      </c>
      <c r="E6" s="8" t="inlineStr">
        <is>
          <t>관리자</t>
        </is>
      </c>
      <c r="F6" s="8" t="inlineStr">
        <is>
          <t>기업지원;기술사업화</t>
        </is>
      </c>
      <c r="G6" s="8" t="inlineStr">
        <is>
          <t>10~15년</t>
        </is>
      </c>
      <c r="H6" s="8" t="inlineStr">
        <is>
          <t>남성</t>
        </is>
      </c>
      <c r="I6" s="8" t="inlineStr">
        <is>
          <t>010-2345-6789</t>
        </is>
      </c>
      <c r="J6" s="9" t="n">
        <v>0.3333</v>
      </c>
      <c r="K6" s="9" t="n">
        <v>0.2</v>
      </c>
      <c r="L6" s="9" t="n">
        <v>3</v>
      </c>
      <c r="M6" s="9" t="n">
        <v>0.3333</v>
      </c>
      <c r="N6" s="9" t="n">
        <v>1</v>
      </c>
      <c r="O6" s="9" t="n">
        <v>0.3333</v>
      </c>
      <c r="P6" s="9" t="n">
        <v>3</v>
      </c>
      <c r="Q6" s="9" t="n">
        <v>1</v>
      </c>
      <c r="R6" s="9" t="n">
        <v>3</v>
      </c>
      <c r="S6" s="9" t="n">
        <v>5</v>
      </c>
      <c r="T6" s="9" t="n">
        <v>3</v>
      </c>
      <c r="U6" s="9" t="n">
        <v>3</v>
      </c>
      <c r="V6" s="9" t="n">
        <v>0.3333</v>
      </c>
      <c r="W6" s="9" t="n">
        <v>0.3333</v>
      </c>
      <c r="X6" s="9" t="n">
        <v>1</v>
      </c>
      <c r="Y6" s="9" t="n">
        <v>1</v>
      </c>
      <c r="Z6" s="9" t="n">
        <v>3</v>
      </c>
      <c r="AA6" s="9" t="n">
        <v>3</v>
      </c>
      <c r="AB6" s="9" t="n">
        <v>1</v>
      </c>
      <c r="AC6" s="9" t="n">
        <v>3</v>
      </c>
      <c r="AD6" s="9" t="n">
        <v>3</v>
      </c>
      <c r="AE6" s="9" t="n">
        <v>3</v>
      </c>
      <c r="AF6" s="9" t="n">
        <v>5</v>
      </c>
      <c r="AG6" s="9" t="n">
        <v>3</v>
      </c>
      <c r="AH6" s="9" t="n">
        <v>1</v>
      </c>
      <c r="AI6" s="9" t="n">
        <v>3</v>
      </c>
      <c r="AJ6" s="9" t="n">
        <v>3</v>
      </c>
      <c r="AK6" s="9" t="n">
        <v>1</v>
      </c>
      <c r="AL6" s="9" t="n">
        <v>3</v>
      </c>
      <c r="AM6" s="9" t="n">
        <v>3</v>
      </c>
      <c r="AN6" s="9" t="n">
        <v>0.3333</v>
      </c>
      <c r="AO6" s="9" t="n">
        <v>3</v>
      </c>
      <c r="AP6" s="9" t="n">
        <v>5</v>
      </c>
    </row>
    <row r="7">
      <c r="A7" s="7" t="inlineStr">
        <is>
          <t>응답자3</t>
        </is>
      </c>
      <c r="B7" s="8" t="inlineStr">
        <is>
          <t>2026-05-18 14:00</t>
        </is>
      </c>
      <c r="C7" s="8" t="inlineStr">
        <is>
          <t>정부(공공기관)</t>
        </is>
      </c>
      <c r="D7" s="8" t="inlineStr">
        <is>
          <t>충남테크노파크</t>
        </is>
      </c>
      <c r="E7" s="8" t="inlineStr">
        <is>
          <t>실무자</t>
        </is>
      </c>
      <c r="F7" s="8" t="inlineStr">
        <is>
          <t>산학협력;산업정책</t>
        </is>
      </c>
      <c r="G7" s="8" t="inlineStr">
        <is>
          <t>5~10년</t>
        </is>
      </c>
      <c r="H7" s="8" t="inlineStr">
        <is>
          <t>여성</t>
        </is>
      </c>
      <c r="I7" s="8" t="inlineStr">
        <is>
          <t>010-3456-7890</t>
        </is>
      </c>
      <c r="J7" s="9" t="n">
        <v>1</v>
      </c>
      <c r="K7" s="9" t="n">
        <v>3</v>
      </c>
      <c r="L7" s="9" t="n">
        <v>3</v>
      </c>
      <c r="M7" s="9" t="n">
        <v>1</v>
      </c>
      <c r="N7" s="9" t="n">
        <v>3</v>
      </c>
      <c r="O7" s="9" t="n">
        <v>3</v>
      </c>
      <c r="P7" s="9" t="n">
        <v>3</v>
      </c>
      <c r="Q7" s="9" t="n">
        <v>1</v>
      </c>
      <c r="R7" s="9" t="n">
        <v>3</v>
      </c>
      <c r="S7" s="9" t="n">
        <v>1</v>
      </c>
      <c r="T7" s="9" t="n">
        <v>0.3333</v>
      </c>
      <c r="U7" s="9" t="n">
        <v>1</v>
      </c>
      <c r="V7" s="9" t="n">
        <v>0.3333</v>
      </c>
      <c r="W7" s="9" t="n">
        <v>0.3333</v>
      </c>
      <c r="X7" s="9" t="n">
        <v>1</v>
      </c>
      <c r="Y7" s="9" t="n">
        <v>1</v>
      </c>
      <c r="Z7" s="9" t="n">
        <v>1</v>
      </c>
      <c r="AA7" s="9" t="n">
        <v>1</v>
      </c>
      <c r="AB7" s="9" t="n">
        <v>1</v>
      </c>
      <c r="AC7" s="9" t="n">
        <v>1</v>
      </c>
      <c r="AD7" s="9" t="n">
        <v>1</v>
      </c>
      <c r="AE7" s="9" t="n">
        <v>1</v>
      </c>
      <c r="AF7" s="9" t="n">
        <v>1</v>
      </c>
      <c r="AG7" s="9" t="n">
        <v>1</v>
      </c>
      <c r="AH7" s="9" t="n">
        <v>1</v>
      </c>
      <c r="AI7" s="9" t="n">
        <v>1</v>
      </c>
      <c r="AJ7" s="9" t="n">
        <v>1</v>
      </c>
      <c r="AK7" s="9" t="n">
        <v>1</v>
      </c>
      <c r="AL7" s="9" t="n">
        <v>1</v>
      </c>
      <c r="AM7" s="9" t="n">
        <v>1</v>
      </c>
      <c r="AN7" s="9" t="n">
        <v>1</v>
      </c>
      <c r="AO7" s="9" t="n">
        <v>1</v>
      </c>
      <c r="AP7" s="9" t="n">
        <v>1</v>
      </c>
    </row>
    <row r="8">
      <c r="A8" s="7" t="inlineStr">
        <is>
          <t>응답자4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</row>
    <row r="9">
      <c r="A9" s="7" t="inlineStr">
        <is>
          <t>응답자5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</row>
    <row r="10">
      <c r="A10" s="7" t="inlineStr">
        <is>
          <t>응답자6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</row>
    <row r="11">
      <c r="A11" s="7" t="inlineStr">
        <is>
          <t>응답자7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</row>
    <row r="12">
      <c r="A12" s="7" t="inlineStr">
        <is>
          <t>응답자8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</row>
    <row r="13">
      <c r="A13" s="7" t="inlineStr">
        <is>
          <t>응답자9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</row>
    <row r="14">
      <c r="A14" s="7" t="inlineStr">
        <is>
          <t>응답자10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</row>
    <row r="15">
      <c r="A15" s="7" t="inlineStr">
        <is>
          <t>응답자11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</row>
    <row r="16">
      <c r="A16" s="7" t="inlineStr">
        <is>
          <t>응답자12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</row>
    <row r="17">
      <c r="A17" s="7" t="inlineStr">
        <is>
          <t>응답자13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</row>
    <row r="18">
      <c r="A18" s="7" t="inlineStr">
        <is>
          <t>응답자14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</row>
    <row r="19">
      <c r="A19" s="7" t="inlineStr">
        <is>
          <t>응답자15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</row>
    <row r="20">
      <c r="A20" s="7" t="inlineStr">
        <is>
          <t>응답자16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</row>
    <row r="21">
      <c r="A21" s="7" t="inlineStr">
        <is>
          <t>응답자17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</row>
    <row r="22">
      <c r="A22" s="7" t="inlineStr">
        <is>
          <t>응답자18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</row>
    <row r="23">
      <c r="A23" s="7" t="inlineStr">
        <is>
          <t>응답자19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</row>
    <row r="24">
      <c r="A24" s="7" t="inlineStr">
        <is>
          <t>응답자20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</row>
    <row r="25">
      <c r="A25" s="7" t="inlineStr">
        <is>
          <t>응답자21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</row>
    <row r="26">
      <c r="A26" s="7" t="inlineStr">
        <is>
          <t>응답자22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</row>
    <row r="27">
      <c r="A27" s="7" t="inlineStr">
        <is>
          <t>응답자23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</row>
    <row r="28">
      <c r="A28" s="7" t="inlineStr">
        <is>
          <t>응답자24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</row>
    <row r="29">
      <c r="A29" s="7" t="inlineStr">
        <is>
          <t>응답자25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</row>
    <row r="30">
      <c r="A30" s="7" t="inlineStr">
        <is>
          <t>응답자26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</row>
    <row r="31">
      <c r="A31" s="7" t="inlineStr">
        <is>
          <t>응답자27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</row>
    <row r="32">
      <c r="A32" s="7" t="inlineStr">
        <is>
          <t>응답자28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</row>
    <row r="33">
      <c r="A33" s="7" t="inlineStr">
        <is>
          <t>응답자29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</row>
    <row r="34">
      <c r="A34" s="7" t="inlineStr">
        <is>
          <t>응답자30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</row>
    <row r="36">
      <c r="A36" s="10" t="inlineStr">
        <is>
          <t>기하평균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>
        <f>IF(COUNT(J5:J34)=0,1,GEOMEAN(J5:J34))</f>
        <v/>
      </c>
      <c r="K36" s="12">
        <f>IF(COUNT(K5:K34)=0,1,GEOMEAN(K5:K34))</f>
        <v/>
      </c>
      <c r="L36" s="12">
        <f>IF(COUNT(L5:L34)=0,1,GEOMEAN(L5:L34))</f>
        <v/>
      </c>
      <c r="M36" s="12">
        <f>IF(COUNT(M5:M34)=0,1,GEOMEAN(M5:M34))</f>
        <v/>
      </c>
      <c r="N36" s="12">
        <f>IF(COUNT(N5:N34)=0,1,GEOMEAN(N5:N34))</f>
        <v/>
      </c>
      <c r="O36" s="12">
        <f>IF(COUNT(O5:O34)=0,1,GEOMEAN(O5:O34))</f>
        <v/>
      </c>
      <c r="P36" s="12">
        <f>IF(COUNT(P5:P34)=0,1,GEOMEAN(P5:P34))</f>
        <v/>
      </c>
      <c r="Q36" s="12">
        <f>IF(COUNT(Q5:Q34)=0,1,GEOMEAN(Q5:Q34))</f>
        <v/>
      </c>
      <c r="R36" s="12">
        <f>IF(COUNT(R5:R34)=0,1,GEOMEAN(R5:R34))</f>
        <v/>
      </c>
      <c r="S36" s="12">
        <f>IF(COUNT(S5:S34)=0,1,GEOMEAN(S5:S34))</f>
        <v/>
      </c>
      <c r="T36" s="12">
        <f>IF(COUNT(T5:T34)=0,1,GEOMEAN(T5:T34))</f>
        <v/>
      </c>
      <c r="U36" s="12">
        <f>IF(COUNT(U5:U34)=0,1,GEOMEAN(U5:U34))</f>
        <v/>
      </c>
      <c r="V36" s="12">
        <f>IF(COUNT(V5:V34)=0,1,GEOMEAN(V5:V34))</f>
        <v/>
      </c>
      <c r="W36" s="12">
        <f>IF(COUNT(W5:W34)=0,1,GEOMEAN(W5:W34))</f>
        <v/>
      </c>
      <c r="X36" s="12">
        <f>IF(COUNT(X5:X34)=0,1,GEOMEAN(X5:X34))</f>
        <v/>
      </c>
      <c r="Y36" s="12">
        <f>IF(COUNT(Y5:Y34)=0,1,GEOMEAN(Y5:Y34))</f>
        <v/>
      </c>
      <c r="Z36" s="12">
        <f>IF(COUNT(Z5:Z34)=0,1,GEOMEAN(Z5:Z34))</f>
        <v/>
      </c>
      <c r="AA36" s="12">
        <f>IF(COUNT(AA5:AA34)=0,1,GEOMEAN(AA5:AA34))</f>
        <v/>
      </c>
      <c r="AB36" s="12">
        <f>IF(COUNT(AB5:AB34)=0,1,GEOMEAN(AB5:AB34))</f>
        <v/>
      </c>
      <c r="AC36" s="12">
        <f>IF(COUNT(AC5:AC34)=0,1,GEOMEAN(AC5:AC34))</f>
        <v/>
      </c>
      <c r="AD36" s="12">
        <f>IF(COUNT(AD5:AD34)=0,1,GEOMEAN(AD5:AD34))</f>
        <v/>
      </c>
      <c r="AE36" s="12">
        <f>IF(COUNT(AE5:AE34)=0,1,GEOMEAN(AE5:AE34))</f>
        <v/>
      </c>
      <c r="AF36" s="12">
        <f>IF(COUNT(AF5:AF34)=0,1,GEOMEAN(AF5:AF34))</f>
        <v/>
      </c>
      <c r="AG36" s="12">
        <f>IF(COUNT(AG5:AG34)=0,1,GEOMEAN(AG5:AG34))</f>
        <v/>
      </c>
      <c r="AH36" s="12">
        <f>IF(COUNT(AH5:AH34)=0,1,GEOMEAN(AH5:AH34))</f>
        <v/>
      </c>
      <c r="AI36" s="12">
        <f>IF(COUNT(AI5:AI34)=0,1,GEOMEAN(AI5:AI34))</f>
        <v/>
      </c>
      <c r="AJ36" s="12">
        <f>IF(COUNT(AJ5:AJ34)=0,1,GEOMEAN(AJ5:AJ34))</f>
        <v/>
      </c>
      <c r="AK36" s="12">
        <f>IF(COUNT(AK5:AK34)=0,1,GEOMEAN(AK5:AK34))</f>
        <v/>
      </c>
      <c r="AL36" s="12">
        <f>IF(COUNT(AL5:AL34)=0,1,GEOMEAN(AL5:AL34))</f>
        <v/>
      </c>
      <c r="AM36" s="12">
        <f>IF(COUNT(AM5:AM34)=0,1,GEOMEAN(AM5:AM34))</f>
        <v/>
      </c>
      <c r="AN36" s="12">
        <f>IF(COUNT(AN5:AN34)=0,1,GEOMEAN(AN5:AN34))</f>
        <v/>
      </c>
      <c r="AO36" s="12">
        <f>IF(COUNT(AO5:AO34)=0,1,GEOMEAN(AO5:AO34))</f>
        <v/>
      </c>
      <c r="AP36" s="12">
        <f>IF(COUNT(AP5:AP34)=0,1,GEOMEAN(AP5:AP34))</f>
        <v/>
      </c>
    </row>
    <row r="37">
      <c r="A37" s="7" t="inlineStr">
        <is>
          <t>응답수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7">
        <f>COUNT(J5:J34)</f>
        <v/>
      </c>
      <c r="K37" s="7">
        <f>COUNT(K5:K34)</f>
        <v/>
      </c>
      <c r="L37" s="7">
        <f>COUNT(L5:L34)</f>
        <v/>
      </c>
      <c r="M37" s="7">
        <f>COUNT(M5:M34)</f>
        <v/>
      </c>
      <c r="N37" s="7">
        <f>COUNT(N5:N34)</f>
        <v/>
      </c>
      <c r="O37" s="7">
        <f>COUNT(O5:O34)</f>
        <v/>
      </c>
      <c r="P37" s="7">
        <f>COUNT(P5:P34)</f>
        <v/>
      </c>
      <c r="Q37" s="7">
        <f>COUNT(Q5:Q34)</f>
        <v/>
      </c>
      <c r="R37" s="7">
        <f>COUNT(R5:R34)</f>
        <v/>
      </c>
      <c r="S37" s="7">
        <f>COUNT(S5:S34)</f>
        <v/>
      </c>
      <c r="T37" s="7">
        <f>COUNT(T5:T34)</f>
        <v/>
      </c>
      <c r="U37" s="7">
        <f>COUNT(U5:U34)</f>
        <v/>
      </c>
      <c r="V37" s="7">
        <f>COUNT(V5:V34)</f>
        <v/>
      </c>
      <c r="W37" s="7">
        <f>COUNT(W5:W34)</f>
        <v/>
      </c>
      <c r="X37" s="7">
        <f>COUNT(X5:X34)</f>
        <v/>
      </c>
      <c r="Y37" s="7">
        <f>COUNT(Y5:Y34)</f>
        <v/>
      </c>
      <c r="Z37" s="7">
        <f>COUNT(Z5:Z34)</f>
        <v/>
      </c>
      <c r="AA37" s="7">
        <f>COUNT(AA5:AA34)</f>
        <v/>
      </c>
      <c r="AB37" s="7">
        <f>COUNT(AB5:AB34)</f>
        <v/>
      </c>
      <c r="AC37" s="7">
        <f>COUNT(AC5:AC34)</f>
        <v/>
      </c>
      <c r="AD37" s="7">
        <f>COUNT(AD5:AD34)</f>
        <v/>
      </c>
      <c r="AE37" s="7">
        <f>COUNT(AE5:AE34)</f>
        <v/>
      </c>
      <c r="AF37" s="7">
        <f>COUNT(AF5:AF34)</f>
        <v/>
      </c>
      <c r="AG37" s="7">
        <f>COUNT(AG5:AG34)</f>
        <v/>
      </c>
      <c r="AH37" s="7">
        <f>COUNT(AH5:AH34)</f>
        <v/>
      </c>
      <c r="AI37" s="7">
        <f>COUNT(AI5:AI34)</f>
        <v/>
      </c>
      <c r="AJ37" s="7">
        <f>COUNT(AJ5:AJ34)</f>
        <v/>
      </c>
      <c r="AK37" s="7">
        <f>COUNT(AK5:AK34)</f>
        <v/>
      </c>
      <c r="AL37" s="7">
        <f>COUNT(AL5:AL34)</f>
        <v/>
      </c>
      <c r="AM37" s="7">
        <f>COUNT(AM5:AM34)</f>
        <v/>
      </c>
      <c r="AN37" s="7">
        <f>COUNT(AN5:AN34)</f>
        <v/>
      </c>
      <c r="AO37" s="7">
        <f>COUNT(AO5:AO34)</f>
        <v/>
      </c>
      <c r="AP37" s="7">
        <f>COUNT(AP5:AP34)</f>
        <v/>
      </c>
    </row>
  </sheetData>
  <mergeCells count="10">
    <mergeCell ref="J3:X3"/>
    <mergeCell ref="AN3:AP3"/>
    <mergeCell ref="A1:Z1"/>
    <mergeCell ref="AB3:AD3"/>
    <mergeCell ref="A3:I3"/>
    <mergeCell ref="A2:Z2"/>
    <mergeCell ref="AK3:AM3"/>
    <mergeCell ref="AH3:AJ3"/>
    <mergeCell ref="AE3:AG3"/>
    <mergeCell ref="Y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3" t="inlineStr">
        <is>
          <t>AHP 분석 결과 (자동 계산)</t>
        </is>
      </c>
    </row>
    <row r="2">
      <c r="A2" s="14" t="inlineStr">
        <is>
          <t>응답데이터 시트의 기하평균을 기반으로 자동 계산됩니다.</t>
        </is>
      </c>
    </row>
    <row r="4">
      <c r="A4" s="15" t="inlineStr">
        <is>
          <t>제1계층: 핵심가치 가중치 분석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30" t="n"/>
    </row>
    <row r="5">
      <c r="A5" s="16" t="inlineStr">
        <is>
          <t>[쌍대비교행렬 (기하평균)]</t>
        </is>
      </c>
    </row>
    <row r="6">
      <c r="A6" s="17" t="inlineStr"/>
      <c r="B6" s="18" t="inlineStr">
        <is>
          <t>자립성</t>
        </is>
      </c>
      <c r="C6" s="18" t="inlineStr">
        <is>
          <t>연계성</t>
        </is>
      </c>
      <c r="D6" s="18" t="inlineStr">
        <is>
          <t>실용성</t>
        </is>
      </c>
      <c r="E6" s="18" t="inlineStr">
        <is>
          <t>포용성</t>
        </is>
      </c>
      <c r="F6" s="18" t="inlineStr">
        <is>
          <t>지속가능성</t>
        </is>
      </c>
      <c r="G6" s="18" t="inlineStr">
        <is>
          <t>확장성</t>
        </is>
      </c>
    </row>
    <row r="7">
      <c r="A7" s="19" t="inlineStr">
        <is>
          <t>자립성</t>
        </is>
      </c>
      <c r="B7" s="20" t="n">
        <v>1</v>
      </c>
      <c r="C7" s="20">
        <f>'응답데이터'!J36</f>
        <v/>
      </c>
      <c r="D7" s="20">
        <f>'응답데이터'!K36</f>
        <v/>
      </c>
      <c r="E7" s="20">
        <f>'응답데이터'!L36</f>
        <v/>
      </c>
      <c r="F7" s="20">
        <f>'응답데이터'!M36</f>
        <v/>
      </c>
      <c r="G7" s="20">
        <f>'응답데이터'!N36</f>
        <v/>
      </c>
    </row>
    <row r="8">
      <c r="A8" s="19" t="inlineStr">
        <is>
          <t>연계성</t>
        </is>
      </c>
      <c r="B8" s="20">
        <f>1/C7</f>
        <v/>
      </c>
      <c r="C8" s="20" t="n">
        <v>1</v>
      </c>
      <c r="D8" s="20">
        <f>'응답데이터'!O36</f>
        <v/>
      </c>
      <c r="E8" s="20">
        <f>'응답데이터'!P36</f>
        <v/>
      </c>
      <c r="F8" s="20">
        <f>'응답데이터'!Q36</f>
        <v/>
      </c>
      <c r="G8" s="20">
        <f>'응답데이터'!R36</f>
        <v/>
      </c>
    </row>
    <row r="9">
      <c r="A9" s="19" t="inlineStr">
        <is>
          <t>실용성</t>
        </is>
      </c>
      <c r="B9" s="20">
        <f>1/D7</f>
        <v/>
      </c>
      <c r="C9" s="20">
        <f>1/D8</f>
        <v/>
      </c>
      <c r="D9" s="20" t="n">
        <v>1</v>
      </c>
      <c r="E9" s="20">
        <f>'응답데이터'!S36</f>
        <v/>
      </c>
      <c r="F9" s="20">
        <f>'응답데이터'!T36</f>
        <v/>
      </c>
      <c r="G9" s="20">
        <f>'응답데이터'!U36</f>
        <v/>
      </c>
    </row>
    <row r="10">
      <c r="A10" s="19" t="inlineStr">
        <is>
          <t>포용성</t>
        </is>
      </c>
      <c r="B10" s="20">
        <f>1/E7</f>
        <v/>
      </c>
      <c r="C10" s="20">
        <f>1/E8</f>
        <v/>
      </c>
      <c r="D10" s="20">
        <f>1/E9</f>
        <v/>
      </c>
      <c r="E10" s="20" t="n">
        <v>1</v>
      </c>
      <c r="F10" s="20">
        <f>'응답데이터'!V36</f>
        <v/>
      </c>
      <c r="G10" s="20">
        <f>'응답데이터'!W36</f>
        <v/>
      </c>
    </row>
    <row r="11">
      <c r="A11" s="19" t="inlineStr">
        <is>
          <t>지속가능성</t>
        </is>
      </c>
      <c r="B11" s="20">
        <f>1/F7</f>
        <v/>
      </c>
      <c r="C11" s="20">
        <f>1/F8</f>
        <v/>
      </c>
      <c r="D11" s="20">
        <f>1/F9</f>
        <v/>
      </c>
      <c r="E11" s="20">
        <f>1/F10</f>
        <v/>
      </c>
      <c r="F11" s="20" t="n">
        <v>1</v>
      </c>
      <c r="G11" s="20">
        <f>'응답데이터'!X36</f>
        <v/>
      </c>
    </row>
    <row r="12">
      <c r="A12" s="19" t="inlineStr">
        <is>
          <t>확장성</t>
        </is>
      </c>
      <c r="B12" s="20">
        <f>1/G7</f>
        <v/>
      </c>
      <c r="C12" s="20">
        <f>1/G8</f>
        <v/>
      </c>
      <c r="D12" s="20">
        <f>1/G9</f>
        <v/>
      </c>
      <c r="E12" s="20">
        <f>1/G10</f>
        <v/>
      </c>
      <c r="F12" s="20">
        <f>1/G11</f>
        <v/>
      </c>
      <c r="G12" s="20" t="n">
        <v>1</v>
      </c>
    </row>
    <row r="13">
      <c r="A13" s="21" t="inlineStr">
        <is>
          <t>열 합계</t>
        </is>
      </c>
      <c r="B13" s="22">
        <f>SUM(B7:B12)</f>
        <v/>
      </c>
      <c r="C13" s="22">
        <f>SUM(C7:C12)</f>
        <v/>
      </c>
      <c r="D13" s="22">
        <f>SUM(D7:D12)</f>
        <v/>
      </c>
      <c r="E13" s="22">
        <f>SUM(E7:E12)</f>
        <v/>
      </c>
      <c r="F13" s="22">
        <f>SUM(F7:F12)</f>
        <v/>
      </c>
      <c r="G13" s="22">
        <f>SUM(G7:G12)</f>
        <v/>
      </c>
    </row>
    <row r="15">
      <c r="A15" s="16" t="inlineStr">
        <is>
          <t>[정규화행렬 및 가중치]</t>
        </is>
      </c>
    </row>
    <row r="16">
      <c r="A16" s="17" t="inlineStr"/>
      <c r="B16" s="18" t="inlineStr">
        <is>
          <t>자립성</t>
        </is>
      </c>
      <c r="C16" s="18" t="inlineStr">
        <is>
          <t>연계성</t>
        </is>
      </c>
      <c r="D16" s="18" t="inlineStr">
        <is>
          <t>실용성</t>
        </is>
      </c>
      <c r="E16" s="18" t="inlineStr">
        <is>
          <t>포용성</t>
        </is>
      </c>
      <c r="F16" s="18" t="inlineStr">
        <is>
          <t>지속가능성</t>
        </is>
      </c>
      <c r="G16" s="18" t="inlineStr">
        <is>
          <t>확장성</t>
        </is>
      </c>
      <c r="H16" s="5" t="inlineStr">
        <is>
          <t>가중치(Wi)</t>
        </is>
      </c>
    </row>
    <row r="17">
      <c r="A17" s="19" t="inlineStr">
        <is>
          <t>자립성</t>
        </is>
      </c>
      <c r="B17" s="20">
        <f>B7/B13</f>
        <v/>
      </c>
      <c r="C17" s="20">
        <f>C7/C13</f>
        <v/>
      </c>
      <c r="D17" s="20">
        <f>D7/D13</f>
        <v/>
      </c>
      <c r="E17" s="20">
        <f>E7/E13</f>
        <v/>
      </c>
      <c r="F17" s="20">
        <f>F7/F13</f>
        <v/>
      </c>
      <c r="G17" s="20">
        <f>G7/G13</f>
        <v/>
      </c>
      <c r="H17" s="23">
        <f>AVERAGE(B17:G17)</f>
        <v/>
      </c>
    </row>
    <row r="18">
      <c r="A18" s="19" t="inlineStr">
        <is>
          <t>연계성</t>
        </is>
      </c>
      <c r="B18" s="20">
        <f>B8/B13</f>
        <v/>
      </c>
      <c r="C18" s="20">
        <f>C8/C13</f>
        <v/>
      </c>
      <c r="D18" s="20">
        <f>D8/D13</f>
        <v/>
      </c>
      <c r="E18" s="20">
        <f>E8/E13</f>
        <v/>
      </c>
      <c r="F18" s="20">
        <f>F8/F13</f>
        <v/>
      </c>
      <c r="G18" s="20">
        <f>G8/G13</f>
        <v/>
      </c>
      <c r="H18" s="23">
        <f>AVERAGE(B18:G18)</f>
        <v/>
      </c>
    </row>
    <row r="19">
      <c r="A19" s="19" t="inlineStr">
        <is>
          <t>실용성</t>
        </is>
      </c>
      <c r="B19" s="20">
        <f>B9/B13</f>
        <v/>
      </c>
      <c r="C19" s="20">
        <f>C9/C13</f>
        <v/>
      </c>
      <c r="D19" s="20">
        <f>D9/D13</f>
        <v/>
      </c>
      <c r="E19" s="20">
        <f>E9/E13</f>
        <v/>
      </c>
      <c r="F19" s="20">
        <f>F9/F13</f>
        <v/>
      </c>
      <c r="G19" s="20">
        <f>G9/G13</f>
        <v/>
      </c>
      <c r="H19" s="23">
        <f>AVERAGE(B19:G19)</f>
        <v/>
      </c>
    </row>
    <row r="20">
      <c r="A20" s="19" t="inlineStr">
        <is>
          <t>포용성</t>
        </is>
      </c>
      <c r="B20" s="20">
        <f>B10/B13</f>
        <v/>
      </c>
      <c r="C20" s="20">
        <f>C10/C13</f>
        <v/>
      </c>
      <c r="D20" s="20">
        <f>D10/D13</f>
        <v/>
      </c>
      <c r="E20" s="20">
        <f>E10/E13</f>
        <v/>
      </c>
      <c r="F20" s="20">
        <f>F10/F13</f>
        <v/>
      </c>
      <c r="G20" s="20">
        <f>G10/G13</f>
        <v/>
      </c>
      <c r="H20" s="23">
        <f>AVERAGE(B20:G20)</f>
        <v/>
      </c>
    </row>
    <row r="21">
      <c r="A21" s="19" t="inlineStr">
        <is>
          <t>지속가능성</t>
        </is>
      </c>
      <c r="B21" s="20">
        <f>B11/B13</f>
        <v/>
      </c>
      <c r="C21" s="20">
        <f>C11/C13</f>
        <v/>
      </c>
      <c r="D21" s="20">
        <f>D11/D13</f>
        <v/>
      </c>
      <c r="E21" s="20">
        <f>E11/E13</f>
        <v/>
      </c>
      <c r="F21" s="20">
        <f>F11/F13</f>
        <v/>
      </c>
      <c r="G21" s="20">
        <f>G11/G13</f>
        <v/>
      </c>
      <c r="H21" s="23">
        <f>AVERAGE(B21:G21)</f>
        <v/>
      </c>
    </row>
    <row r="22">
      <c r="A22" s="19" t="inlineStr">
        <is>
          <t>확장성</t>
        </is>
      </c>
      <c r="B22" s="20">
        <f>B12/B13</f>
        <v/>
      </c>
      <c r="C22" s="20">
        <f>C12/C13</f>
        <v/>
      </c>
      <c r="D22" s="20">
        <f>D12/D13</f>
        <v/>
      </c>
      <c r="E22" s="20">
        <f>E12/E13</f>
        <v/>
      </c>
      <c r="F22" s="20">
        <f>F12/F13</f>
        <v/>
      </c>
      <c r="G22" s="20">
        <f>G12/G13</f>
        <v/>
      </c>
      <c r="H22" s="23">
        <f>AVERAGE(B22:G22)</f>
        <v/>
      </c>
    </row>
    <row r="24">
      <c r="A24" s="16" t="inlineStr">
        <is>
          <t>[일관성 검증]</t>
        </is>
      </c>
    </row>
    <row r="25">
      <c r="A25" s="18" t="inlineStr">
        <is>
          <t>항목</t>
        </is>
      </c>
      <c r="B25" s="18" t="inlineStr">
        <is>
          <t>가중치(Wi)</t>
        </is>
      </c>
      <c r="C25" s="18" t="inlineStr">
        <is>
          <t>가중합(Aw)</t>
        </is>
      </c>
      <c r="D25" s="18" t="inlineStr">
        <is>
          <t>Aw/Wi</t>
        </is>
      </c>
    </row>
    <row r="26">
      <c r="A26" s="2" t="inlineStr">
        <is>
          <t>자립성</t>
        </is>
      </c>
      <c r="B26" s="20">
        <f>H17</f>
        <v/>
      </c>
      <c r="C26" s="20">
        <f>B7*H17+C7*H18+D7*H19+E7*H20+F7*H21+G7*H22</f>
        <v/>
      </c>
      <c r="D26" s="20">
        <f>C26/B26</f>
        <v/>
      </c>
    </row>
    <row r="27">
      <c r="A27" s="2" t="inlineStr">
        <is>
          <t>연계성</t>
        </is>
      </c>
      <c r="B27" s="20">
        <f>H18</f>
        <v/>
      </c>
      <c r="C27" s="20">
        <f>B8*H17+C8*H18+D8*H19+E8*H20+F8*H21+G8*H22</f>
        <v/>
      </c>
      <c r="D27" s="20">
        <f>C27/B27</f>
        <v/>
      </c>
    </row>
    <row r="28">
      <c r="A28" s="2" t="inlineStr">
        <is>
          <t>실용성</t>
        </is>
      </c>
      <c r="B28" s="20">
        <f>H19</f>
        <v/>
      </c>
      <c r="C28" s="20">
        <f>B9*H17+C9*H18+D9*H19+E9*H20+F9*H21+G9*H22</f>
        <v/>
      </c>
      <c r="D28" s="20">
        <f>C28/B28</f>
        <v/>
      </c>
    </row>
    <row r="29">
      <c r="A29" s="2" t="inlineStr">
        <is>
          <t>포용성</t>
        </is>
      </c>
      <c r="B29" s="20">
        <f>H20</f>
        <v/>
      </c>
      <c r="C29" s="20">
        <f>B10*H17+C10*H18+D10*H19+E10*H20+F10*H21+G10*H22</f>
        <v/>
      </c>
      <c r="D29" s="20">
        <f>C29/B29</f>
        <v/>
      </c>
    </row>
    <row r="30">
      <c r="A30" s="2" t="inlineStr">
        <is>
          <t>지속가능성</t>
        </is>
      </c>
      <c r="B30" s="20">
        <f>H21</f>
        <v/>
      </c>
      <c r="C30" s="20">
        <f>B11*H17+C11*H18+D11*H19+E11*H20+F11*H21+G11*H22</f>
        <v/>
      </c>
      <c r="D30" s="20">
        <f>C30/B30</f>
        <v/>
      </c>
    </row>
    <row r="31">
      <c r="A31" s="2" t="inlineStr">
        <is>
          <t>확장성</t>
        </is>
      </c>
      <c r="B31" s="20">
        <f>H22</f>
        <v/>
      </c>
      <c r="C31" s="20">
        <f>B12*H17+C12*H18+D12*H19+E12*H20+F12*H21+G12*H22</f>
        <v/>
      </c>
      <c r="D31" s="20">
        <f>C31/B31</f>
        <v/>
      </c>
    </row>
    <row r="33">
      <c r="A33" s="21" t="inlineStr">
        <is>
          <t>λmax</t>
        </is>
      </c>
      <c r="B33" s="22">
        <f>AVERAGE(D26,D27,D28,D29,D30,D31)</f>
        <v/>
      </c>
    </row>
    <row r="34">
      <c r="A34" s="21" t="inlineStr">
        <is>
          <t>CI</t>
        </is>
      </c>
      <c r="B34" s="22">
        <f>(B33-6)/(6-1)</f>
        <v/>
      </c>
    </row>
    <row r="35">
      <c r="A35" s="21" t="inlineStr">
        <is>
          <t>RI</t>
        </is>
      </c>
      <c r="B35" s="22" t="n">
        <v>1.24</v>
      </c>
    </row>
    <row r="36">
      <c r="A36" s="21" t="inlineStr">
        <is>
          <t>CR</t>
        </is>
      </c>
      <c r="B36" s="22">
        <f>B34/1.24</f>
        <v/>
      </c>
    </row>
    <row r="37">
      <c r="A37" s="21" t="inlineStr">
        <is>
          <t>판정결과</t>
        </is>
      </c>
      <c r="B37" s="24">
        <f>IF(B36&lt;=0.1,"PASS (CR&lt;=0.1, 적합)","FAIL (CR&gt;0.1, 부적합 - 재설문 필요)")</f>
        <v/>
      </c>
    </row>
    <row r="39">
      <c r="A39" s="15" t="inlineStr">
        <is>
          <t>제2계층: 자립성 - 정책요인 가중치 분석</t>
        </is>
      </c>
      <c r="B39" s="29" t="n"/>
      <c r="C39" s="29" t="n"/>
      <c r="D39" s="29" t="n"/>
      <c r="E39" s="29" t="n"/>
      <c r="F39" s="29" t="n"/>
      <c r="G39" s="30" t="n"/>
    </row>
    <row r="40">
      <c r="A40" s="16" t="inlineStr">
        <is>
          <t>[쌍대비교행렬 (기하평균)]</t>
        </is>
      </c>
    </row>
    <row r="41">
      <c r="A41" s="17" t="inlineStr"/>
      <c r="B41" s="18" t="inlineStr">
        <is>
          <t>지역 R&amp;D 역량 강화</t>
        </is>
      </c>
      <c r="C41" s="18" t="inlineStr">
        <is>
          <t>지역기업 기술흡수역량 강화</t>
        </is>
      </c>
      <c r="D41" s="18" t="inlineStr">
        <is>
          <t>지역혁신 인재양성</t>
        </is>
      </c>
    </row>
    <row r="42">
      <c r="A42" s="19" t="inlineStr">
        <is>
          <t>지역 R&amp;D 역량 강화</t>
        </is>
      </c>
      <c r="B42" s="20" t="n">
        <v>1</v>
      </c>
      <c r="C42" s="20">
        <f>'응답데이터'!Y36</f>
        <v/>
      </c>
      <c r="D42" s="20">
        <f>'응답데이터'!Z36</f>
        <v/>
      </c>
    </row>
    <row r="43">
      <c r="A43" s="19" t="inlineStr">
        <is>
          <t>지역기업 기술흡수역량 강화</t>
        </is>
      </c>
      <c r="B43" s="20">
        <f>1/C42</f>
        <v/>
      </c>
      <c r="C43" s="20" t="n">
        <v>1</v>
      </c>
      <c r="D43" s="20">
        <f>'응답데이터'!AA36</f>
        <v/>
      </c>
    </row>
    <row r="44">
      <c r="A44" s="19" t="inlineStr">
        <is>
          <t>지역혁신 인재양성</t>
        </is>
      </c>
      <c r="B44" s="20">
        <f>1/D42</f>
        <v/>
      </c>
      <c r="C44" s="20">
        <f>1/D43</f>
        <v/>
      </c>
      <c r="D44" s="20" t="n">
        <v>1</v>
      </c>
    </row>
    <row r="45">
      <c r="A45" s="21" t="inlineStr">
        <is>
          <t>열 합계</t>
        </is>
      </c>
      <c r="B45" s="22">
        <f>SUM(B42:B44)</f>
        <v/>
      </c>
      <c r="C45" s="22">
        <f>SUM(C42:C44)</f>
        <v/>
      </c>
      <c r="D45" s="22">
        <f>SUM(D42:D44)</f>
        <v/>
      </c>
    </row>
    <row r="47">
      <c r="A47" s="16" t="inlineStr">
        <is>
          <t>[정규화행렬 및 가중치]</t>
        </is>
      </c>
    </row>
    <row r="48">
      <c r="A48" s="17" t="inlineStr"/>
      <c r="B48" s="18" t="inlineStr">
        <is>
          <t>지역 R&amp;D 역량 강화</t>
        </is>
      </c>
      <c r="C48" s="18" t="inlineStr">
        <is>
          <t>지역기업 기술흡수역량 강화</t>
        </is>
      </c>
      <c r="D48" s="18" t="inlineStr">
        <is>
          <t>지역혁신 인재양성</t>
        </is>
      </c>
      <c r="E48" s="5" t="inlineStr">
        <is>
          <t>가중치(Wi)</t>
        </is>
      </c>
    </row>
    <row r="49">
      <c r="A49" s="19" t="inlineStr">
        <is>
          <t>지역 R&amp;D 역량 강화</t>
        </is>
      </c>
      <c r="B49" s="20">
        <f>B42/B45</f>
        <v/>
      </c>
      <c r="C49" s="20">
        <f>C42/C45</f>
        <v/>
      </c>
      <c r="D49" s="20">
        <f>D42/D45</f>
        <v/>
      </c>
      <c r="E49" s="23">
        <f>AVERAGE(B49:D49)</f>
        <v/>
      </c>
    </row>
    <row r="50">
      <c r="A50" s="19" t="inlineStr">
        <is>
          <t>지역기업 기술흡수역량 강화</t>
        </is>
      </c>
      <c r="B50" s="20">
        <f>B43/B45</f>
        <v/>
      </c>
      <c r="C50" s="20">
        <f>C43/C45</f>
        <v/>
      </c>
      <c r="D50" s="20">
        <f>D43/D45</f>
        <v/>
      </c>
      <c r="E50" s="23">
        <f>AVERAGE(B50:D50)</f>
        <v/>
      </c>
    </row>
    <row r="51">
      <c r="A51" s="19" t="inlineStr">
        <is>
          <t>지역혁신 인재양성</t>
        </is>
      </c>
      <c r="B51" s="20">
        <f>B44/B45</f>
        <v/>
      </c>
      <c r="C51" s="20">
        <f>C44/C45</f>
        <v/>
      </c>
      <c r="D51" s="20">
        <f>D44/D45</f>
        <v/>
      </c>
      <c r="E51" s="23">
        <f>AVERAGE(B51:D51)</f>
        <v/>
      </c>
    </row>
    <row r="53">
      <c r="A53" s="16" t="inlineStr">
        <is>
          <t>[일관성 검증]</t>
        </is>
      </c>
    </row>
    <row r="54">
      <c r="A54" s="18" t="inlineStr">
        <is>
          <t>항목</t>
        </is>
      </c>
      <c r="B54" s="18" t="inlineStr">
        <is>
          <t>가중치(Wi)</t>
        </is>
      </c>
      <c r="C54" s="18" t="inlineStr">
        <is>
          <t>가중합(Aw)</t>
        </is>
      </c>
      <c r="D54" s="18" t="inlineStr">
        <is>
          <t>Aw/Wi</t>
        </is>
      </c>
    </row>
    <row r="55">
      <c r="A55" s="2" t="inlineStr">
        <is>
          <t>지역 R&amp;D 역량 강화</t>
        </is>
      </c>
      <c r="B55" s="20">
        <f>E49</f>
        <v/>
      </c>
      <c r="C55" s="20">
        <f>B42*E49+C42*E50+D42*E51</f>
        <v/>
      </c>
      <c r="D55" s="20">
        <f>C55/B55</f>
        <v/>
      </c>
    </row>
    <row r="56">
      <c r="A56" s="2" t="inlineStr">
        <is>
          <t>지역기업 기술흡수역량 강화</t>
        </is>
      </c>
      <c r="B56" s="20">
        <f>E50</f>
        <v/>
      </c>
      <c r="C56" s="20">
        <f>B43*E49+C43*E50+D43*E51</f>
        <v/>
      </c>
      <c r="D56" s="20">
        <f>C56/B56</f>
        <v/>
      </c>
    </row>
    <row r="57">
      <c r="A57" s="2" t="inlineStr">
        <is>
          <t>지역혁신 인재양성</t>
        </is>
      </c>
      <c r="B57" s="20">
        <f>E51</f>
        <v/>
      </c>
      <c r="C57" s="20">
        <f>B44*E49+C44*E50+D44*E51</f>
        <v/>
      </c>
      <c r="D57" s="20">
        <f>C57/B57</f>
        <v/>
      </c>
    </row>
    <row r="59">
      <c r="A59" s="21" t="inlineStr">
        <is>
          <t>λmax</t>
        </is>
      </c>
      <c r="B59" s="22">
        <f>AVERAGE(D55,D56,D57)</f>
        <v/>
      </c>
    </row>
    <row r="60">
      <c r="A60" s="21" t="inlineStr">
        <is>
          <t>CI</t>
        </is>
      </c>
      <c r="B60" s="22">
        <f>(B59-3)/(3-1)</f>
        <v/>
      </c>
    </row>
    <row r="61">
      <c r="A61" s="21" t="inlineStr">
        <is>
          <t>RI</t>
        </is>
      </c>
      <c r="B61" s="22" t="n">
        <v>0.58</v>
      </c>
    </row>
    <row r="62">
      <c r="A62" s="21" t="inlineStr">
        <is>
          <t>CR</t>
        </is>
      </c>
      <c r="B62" s="22">
        <f>B60/0.58</f>
        <v/>
      </c>
    </row>
    <row r="63">
      <c r="A63" s="21" t="inlineStr">
        <is>
          <t>판정결과</t>
        </is>
      </c>
      <c r="B63" s="24">
        <f>IF(B62&lt;=0.1,"PASS (CR&lt;=0.1, 적합)","FAIL (CR&gt;0.1, 부적합 - 재설문 필요)")</f>
        <v/>
      </c>
    </row>
    <row r="65">
      <c r="A65" s="15" t="inlineStr">
        <is>
          <t>제2계층: 연계성 - 정책요인 가중치 분석</t>
        </is>
      </c>
      <c r="B65" s="29" t="n"/>
      <c r="C65" s="29" t="n"/>
      <c r="D65" s="29" t="n"/>
      <c r="E65" s="29" t="n"/>
      <c r="F65" s="29" t="n"/>
      <c r="G65" s="30" t="n"/>
    </row>
    <row r="66">
      <c r="A66" s="16" t="inlineStr">
        <is>
          <t>[쌍대비교행렬 (기하평균)]</t>
        </is>
      </c>
    </row>
    <row r="67">
      <c r="A67" s="17" t="inlineStr"/>
      <c r="B67" s="18" t="inlineStr">
        <is>
          <t>산·학·연·관 협력 강화</t>
        </is>
      </c>
      <c r="C67" s="18" t="inlineStr">
        <is>
          <t>기업 간 네트워크 활성화</t>
        </is>
      </c>
      <c r="D67" s="18" t="inlineStr">
        <is>
          <t>중간지원기관 조정 기능 강화</t>
        </is>
      </c>
    </row>
    <row r="68">
      <c r="A68" s="19" t="inlineStr">
        <is>
          <t>산·학·연·관 협력 강화</t>
        </is>
      </c>
      <c r="B68" s="20" t="n">
        <v>1</v>
      </c>
      <c r="C68" s="20">
        <f>'응답데이터'!AB36</f>
        <v/>
      </c>
      <c r="D68" s="20">
        <f>'응답데이터'!AC36</f>
        <v/>
      </c>
    </row>
    <row r="69">
      <c r="A69" s="19" t="inlineStr">
        <is>
          <t>기업 간 네트워크 활성화</t>
        </is>
      </c>
      <c r="B69" s="20">
        <f>1/C68</f>
        <v/>
      </c>
      <c r="C69" s="20" t="n">
        <v>1</v>
      </c>
      <c r="D69" s="20">
        <f>'응답데이터'!AD36</f>
        <v/>
      </c>
    </row>
    <row r="70">
      <c r="A70" s="19" t="inlineStr">
        <is>
          <t>중간지원기관 조정 기능 강화</t>
        </is>
      </c>
      <c r="B70" s="20">
        <f>1/D68</f>
        <v/>
      </c>
      <c r="C70" s="20">
        <f>1/D69</f>
        <v/>
      </c>
      <c r="D70" s="20" t="n">
        <v>1</v>
      </c>
    </row>
    <row r="71">
      <c r="A71" s="21" t="inlineStr">
        <is>
          <t>열 합계</t>
        </is>
      </c>
      <c r="B71" s="22">
        <f>SUM(B68:B70)</f>
        <v/>
      </c>
      <c r="C71" s="22">
        <f>SUM(C68:C70)</f>
        <v/>
      </c>
      <c r="D71" s="22">
        <f>SUM(D68:D70)</f>
        <v/>
      </c>
    </row>
    <row r="73">
      <c r="A73" s="16" t="inlineStr">
        <is>
          <t>[정규화행렬 및 가중치]</t>
        </is>
      </c>
    </row>
    <row r="74">
      <c r="A74" s="17" t="inlineStr"/>
      <c r="B74" s="18" t="inlineStr">
        <is>
          <t>산·학·연·관 협력 강화</t>
        </is>
      </c>
      <c r="C74" s="18" t="inlineStr">
        <is>
          <t>기업 간 네트워크 활성화</t>
        </is>
      </c>
      <c r="D74" s="18" t="inlineStr">
        <is>
          <t>중간지원기관 조정 기능 강화</t>
        </is>
      </c>
      <c r="E74" s="5" t="inlineStr">
        <is>
          <t>가중치(Wi)</t>
        </is>
      </c>
    </row>
    <row r="75">
      <c r="A75" s="19" t="inlineStr">
        <is>
          <t>산·학·연·관 협력 강화</t>
        </is>
      </c>
      <c r="B75" s="20">
        <f>B68/B71</f>
        <v/>
      </c>
      <c r="C75" s="20">
        <f>C68/C71</f>
        <v/>
      </c>
      <c r="D75" s="20">
        <f>D68/D71</f>
        <v/>
      </c>
      <c r="E75" s="23">
        <f>AVERAGE(B75:D75)</f>
        <v/>
      </c>
    </row>
    <row r="76">
      <c r="A76" s="19" t="inlineStr">
        <is>
          <t>기업 간 네트워크 활성화</t>
        </is>
      </c>
      <c r="B76" s="20">
        <f>B69/B71</f>
        <v/>
      </c>
      <c r="C76" s="20">
        <f>C69/C71</f>
        <v/>
      </c>
      <c r="D76" s="20">
        <f>D69/D71</f>
        <v/>
      </c>
      <c r="E76" s="23">
        <f>AVERAGE(B76:D76)</f>
        <v/>
      </c>
    </row>
    <row r="77">
      <c r="A77" s="19" t="inlineStr">
        <is>
          <t>중간지원기관 조정 기능 강화</t>
        </is>
      </c>
      <c r="B77" s="20">
        <f>B70/B71</f>
        <v/>
      </c>
      <c r="C77" s="20">
        <f>C70/C71</f>
        <v/>
      </c>
      <c r="D77" s="20">
        <f>D70/D71</f>
        <v/>
      </c>
      <c r="E77" s="23">
        <f>AVERAGE(B77:D77)</f>
        <v/>
      </c>
    </row>
    <row r="79">
      <c r="A79" s="16" t="inlineStr">
        <is>
          <t>[일관성 검증]</t>
        </is>
      </c>
    </row>
    <row r="80">
      <c r="A80" s="18" t="inlineStr">
        <is>
          <t>항목</t>
        </is>
      </c>
      <c r="B80" s="18" t="inlineStr">
        <is>
          <t>가중치(Wi)</t>
        </is>
      </c>
      <c r="C80" s="18" t="inlineStr">
        <is>
          <t>가중합(Aw)</t>
        </is>
      </c>
      <c r="D80" s="18" t="inlineStr">
        <is>
          <t>Aw/Wi</t>
        </is>
      </c>
    </row>
    <row r="81">
      <c r="A81" s="2" t="inlineStr">
        <is>
          <t>산·학·연·관 협력 강화</t>
        </is>
      </c>
      <c r="B81" s="20">
        <f>E75</f>
        <v/>
      </c>
      <c r="C81" s="20">
        <f>B68*E75+C68*E76+D68*E77</f>
        <v/>
      </c>
      <c r="D81" s="20">
        <f>C81/B81</f>
        <v/>
      </c>
    </row>
    <row r="82">
      <c r="A82" s="2" t="inlineStr">
        <is>
          <t>기업 간 네트워크 활성화</t>
        </is>
      </c>
      <c r="B82" s="20">
        <f>E76</f>
        <v/>
      </c>
      <c r="C82" s="20">
        <f>B69*E75+C69*E76+D69*E77</f>
        <v/>
      </c>
      <c r="D82" s="20">
        <f>C82/B82</f>
        <v/>
      </c>
    </row>
    <row r="83">
      <c r="A83" s="2" t="inlineStr">
        <is>
          <t>중간지원기관 조정 기능 강화</t>
        </is>
      </c>
      <c r="B83" s="20">
        <f>E77</f>
        <v/>
      </c>
      <c r="C83" s="20">
        <f>B70*E75+C70*E76+D70*E77</f>
        <v/>
      </c>
      <c r="D83" s="20">
        <f>C83/B83</f>
        <v/>
      </c>
    </row>
    <row r="85">
      <c r="A85" s="21" t="inlineStr">
        <is>
          <t>λmax</t>
        </is>
      </c>
      <c r="B85" s="22">
        <f>AVERAGE(D81,D82,D83)</f>
        <v/>
      </c>
    </row>
    <row r="86">
      <c r="A86" s="21" t="inlineStr">
        <is>
          <t>CI</t>
        </is>
      </c>
      <c r="B86" s="22">
        <f>(B85-3)/(3-1)</f>
        <v/>
      </c>
    </row>
    <row r="87">
      <c r="A87" s="21" t="inlineStr">
        <is>
          <t>RI</t>
        </is>
      </c>
      <c r="B87" s="22" t="n">
        <v>0.58</v>
      </c>
    </row>
    <row r="88">
      <c r="A88" s="21" t="inlineStr">
        <is>
          <t>CR</t>
        </is>
      </c>
      <c r="B88" s="22">
        <f>B86/0.58</f>
        <v/>
      </c>
    </row>
    <row r="89">
      <c r="A89" s="21" t="inlineStr">
        <is>
          <t>판정결과</t>
        </is>
      </c>
      <c r="B89" s="24">
        <f>IF(B88&lt;=0.1,"PASS (CR&lt;=0.1, 적합)","FAIL (CR&gt;0.1, 부적합 - 재설문 필요)")</f>
        <v/>
      </c>
    </row>
    <row r="91">
      <c r="A91" s="15" t="inlineStr">
        <is>
          <t>제2계층: 실용성 - 정책요인 가중치 분석</t>
        </is>
      </c>
      <c r="B91" s="29" t="n"/>
      <c r="C91" s="29" t="n"/>
      <c r="D91" s="29" t="n"/>
      <c r="E91" s="29" t="n"/>
      <c r="F91" s="29" t="n"/>
      <c r="G91" s="30" t="n"/>
    </row>
    <row r="92">
      <c r="A92" s="16" t="inlineStr">
        <is>
          <t>[쌍대비교행렬 (기하평균)]</t>
        </is>
      </c>
    </row>
    <row r="93">
      <c r="A93" s="17" t="inlineStr"/>
      <c r="B93" s="18" t="inlineStr">
        <is>
          <t>기술사업화 지원</t>
        </is>
      </c>
      <c r="C93" s="18" t="inlineStr">
        <is>
          <t>기업 기술애로 해결</t>
        </is>
      </c>
      <c r="D93" s="18" t="inlineStr">
        <is>
          <t>매출·고용 창출 연계</t>
        </is>
      </c>
    </row>
    <row r="94">
      <c r="A94" s="19" t="inlineStr">
        <is>
          <t>기술사업화 지원</t>
        </is>
      </c>
      <c r="B94" s="20" t="n">
        <v>1</v>
      </c>
      <c r="C94" s="20">
        <f>'응답데이터'!AE36</f>
        <v/>
      </c>
      <c r="D94" s="20">
        <f>'응답데이터'!AF36</f>
        <v/>
      </c>
    </row>
    <row r="95">
      <c r="A95" s="19" t="inlineStr">
        <is>
          <t>기업 기술애로 해결</t>
        </is>
      </c>
      <c r="B95" s="20">
        <f>1/C94</f>
        <v/>
      </c>
      <c r="C95" s="20" t="n">
        <v>1</v>
      </c>
      <c r="D95" s="20">
        <f>'응답데이터'!AG36</f>
        <v/>
      </c>
    </row>
    <row r="96">
      <c r="A96" s="19" t="inlineStr">
        <is>
          <t>매출·고용 창출 연계</t>
        </is>
      </c>
      <c r="B96" s="20">
        <f>1/D94</f>
        <v/>
      </c>
      <c r="C96" s="20">
        <f>1/D95</f>
        <v/>
      </c>
      <c r="D96" s="20" t="n">
        <v>1</v>
      </c>
    </row>
    <row r="97">
      <c r="A97" s="21" t="inlineStr">
        <is>
          <t>열 합계</t>
        </is>
      </c>
      <c r="B97" s="22">
        <f>SUM(B94:B96)</f>
        <v/>
      </c>
      <c r="C97" s="22">
        <f>SUM(C94:C96)</f>
        <v/>
      </c>
      <c r="D97" s="22">
        <f>SUM(D94:D96)</f>
        <v/>
      </c>
    </row>
    <row r="99">
      <c r="A99" s="16" t="inlineStr">
        <is>
          <t>[정규화행렬 및 가중치]</t>
        </is>
      </c>
    </row>
    <row r="100">
      <c r="A100" s="17" t="inlineStr"/>
      <c r="B100" s="18" t="inlineStr">
        <is>
          <t>기술사업화 지원</t>
        </is>
      </c>
      <c r="C100" s="18" t="inlineStr">
        <is>
          <t>기업 기술애로 해결</t>
        </is>
      </c>
      <c r="D100" s="18" t="inlineStr">
        <is>
          <t>매출·고용 창출 연계</t>
        </is>
      </c>
      <c r="E100" s="5" t="inlineStr">
        <is>
          <t>가중치(Wi)</t>
        </is>
      </c>
    </row>
    <row r="101">
      <c r="A101" s="19" t="inlineStr">
        <is>
          <t>기술사업화 지원</t>
        </is>
      </c>
      <c r="B101" s="20">
        <f>B94/B97</f>
        <v/>
      </c>
      <c r="C101" s="20">
        <f>C94/C97</f>
        <v/>
      </c>
      <c r="D101" s="20">
        <f>D94/D97</f>
        <v/>
      </c>
      <c r="E101" s="23">
        <f>AVERAGE(B101:D101)</f>
        <v/>
      </c>
    </row>
    <row r="102">
      <c r="A102" s="19" t="inlineStr">
        <is>
          <t>기업 기술애로 해결</t>
        </is>
      </c>
      <c r="B102" s="20">
        <f>B95/B97</f>
        <v/>
      </c>
      <c r="C102" s="20">
        <f>C95/C97</f>
        <v/>
      </c>
      <c r="D102" s="20">
        <f>D95/D97</f>
        <v/>
      </c>
      <c r="E102" s="23">
        <f>AVERAGE(B102:D102)</f>
        <v/>
      </c>
    </row>
    <row r="103">
      <c r="A103" s="19" t="inlineStr">
        <is>
          <t>매출·고용 창출 연계</t>
        </is>
      </c>
      <c r="B103" s="20">
        <f>B96/B97</f>
        <v/>
      </c>
      <c r="C103" s="20">
        <f>C96/C97</f>
        <v/>
      </c>
      <c r="D103" s="20">
        <f>D96/D97</f>
        <v/>
      </c>
      <c r="E103" s="23">
        <f>AVERAGE(B103:D103)</f>
        <v/>
      </c>
    </row>
    <row r="105">
      <c r="A105" s="16" t="inlineStr">
        <is>
          <t>[일관성 검증]</t>
        </is>
      </c>
    </row>
    <row r="106">
      <c r="A106" s="18" t="inlineStr">
        <is>
          <t>항목</t>
        </is>
      </c>
      <c r="B106" s="18" t="inlineStr">
        <is>
          <t>가중치(Wi)</t>
        </is>
      </c>
      <c r="C106" s="18" t="inlineStr">
        <is>
          <t>가중합(Aw)</t>
        </is>
      </c>
      <c r="D106" s="18" t="inlineStr">
        <is>
          <t>Aw/Wi</t>
        </is>
      </c>
    </row>
    <row r="107">
      <c r="A107" s="2" t="inlineStr">
        <is>
          <t>기술사업화 지원</t>
        </is>
      </c>
      <c r="B107" s="20">
        <f>E101</f>
        <v/>
      </c>
      <c r="C107" s="20">
        <f>B94*E101+C94*E102+D94*E103</f>
        <v/>
      </c>
      <c r="D107" s="20">
        <f>C107/B107</f>
        <v/>
      </c>
    </row>
    <row r="108">
      <c r="A108" s="2" t="inlineStr">
        <is>
          <t>기업 기술애로 해결</t>
        </is>
      </c>
      <c r="B108" s="20">
        <f>E102</f>
        <v/>
      </c>
      <c r="C108" s="20">
        <f>B95*E101+C95*E102+D95*E103</f>
        <v/>
      </c>
      <c r="D108" s="20">
        <f>C108/B108</f>
        <v/>
      </c>
    </row>
    <row r="109">
      <c r="A109" s="2" t="inlineStr">
        <is>
          <t>매출·고용 창출 연계</t>
        </is>
      </c>
      <c r="B109" s="20">
        <f>E103</f>
        <v/>
      </c>
      <c r="C109" s="20">
        <f>B96*E101+C96*E102+D96*E103</f>
        <v/>
      </c>
      <c r="D109" s="20">
        <f>C109/B109</f>
        <v/>
      </c>
    </row>
    <row r="111">
      <c r="A111" s="21" t="inlineStr">
        <is>
          <t>λmax</t>
        </is>
      </c>
      <c r="B111" s="22">
        <f>AVERAGE(D107,D108,D109)</f>
        <v/>
      </c>
    </row>
    <row r="112">
      <c r="A112" s="21" t="inlineStr">
        <is>
          <t>CI</t>
        </is>
      </c>
      <c r="B112" s="22">
        <f>(B111-3)/(3-1)</f>
        <v/>
      </c>
    </row>
    <row r="113">
      <c r="A113" s="21" t="inlineStr">
        <is>
          <t>RI</t>
        </is>
      </c>
      <c r="B113" s="22" t="n">
        <v>0.58</v>
      </c>
    </row>
    <row r="114">
      <c r="A114" s="21" t="inlineStr">
        <is>
          <t>CR</t>
        </is>
      </c>
      <c r="B114" s="22">
        <f>B112/0.58</f>
        <v/>
      </c>
    </row>
    <row r="115">
      <c r="A115" s="21" t="inlineStr">
        <is>
          <t>판정결과</t>
        </is>
      </c>
      <c r="B115" s="24">
        <f>IF(B114&lt;=0.1,"PASS (CR&lt;=0.1, 적합)","FAIL (CR&gt;0.1, 부적합 - 재설문 필요)")</f>
        <v/>
      </c>
    </row>
    <row r="117">
      <c r="A117" s="15" t="inlineStr">
        <is>
          <t>제2계층: 포용성 - 정책요인 가중치 분석</t>
        </is>
      </c>
      <c r="B117" s="29" t="n"/>
      <c r="C117" s="29" t="n"/>
      <c r="D117" s="29" t="n"/>
      <c r="E117" s="29" t="n"/>
      <c r="F117" s="29" t="n"/>
      <c r="G117" s="30" t="n"/>
    </row>
    <row r="118">
      <c r="A118" s="16" t="inlineStr">
        <is>
          <t>[쌍대비교행렬 (기하평균)]</t>
        </is>
      </c>
    </row>
    <row r="119">
      <c r="A119" s="17" t="inlineStr"/>
      <c r="B119" s="18" t="inlineStr">
        <is>
          <t>중소기업 정책 접근성 강화</t>
        </is>
      </c>
      <c r="C119" s="18" t="inlineStr">
        <is>
          <t>청년·창업기업 참여 확대</t>
        </is>
      </c>
      <c r="D119" s="18" t="inlineStr">
        <is>
          <t>지역대학 및 지역사회 참여 확대</t>
        </is>
      </c>
    </row>
    <row r="120">
      <c r="A120" s="19" t="inlineStr">
        <is>
          <t>중소기업 정책 접근성 강화</t>
        </is>
      </c>
      <c r="B120" s="20" t="n">
        <v>1</v>
      </c>
      <c r="C120" s="20">
        <f>'응답데이터'!AH36</f>
        <v/>
      </c>
      <c r="D120" s="20">
        <f>'응답데이터'!AI36</f>
        <v/>
      </c>
    </row>
    <row r="121">
      <c r="A121" s="19" t="inlineStr">
        <is>
          <t>청년·창업기업 참여 확대</t>
        </is>
      </c>
      <c r="B121" s="20">
        <f>1/C120</f>
        <v/>
      </c>
      <c r="C121" s="20" t="n">
        <v>1</v>
      </c>
      <c r="D121" s="20">
        <f>'응답데이터'!AJ36</f>
        <v/>
      </c>
    </row>
    <row r="122">
      <c r="A122" s="19" t="inlineStr">
        <is>
          <t>지역대학 및 지역사회 참여 확대</t>
        </is>
      </c>
      <c r="B122" s="20">
        <f>1/D120</f>
        <v/>
      </c>
      <c r="C122" s="20">
        <f>1/D121</f>
        <v/>
      </c>
      <c r="D122" s="20" t="n">
        <v>1</v>
      </c>
    </row>
    <row r="123">
      <c r="A123" s="21" t="inlineStr">
        <is>
          <t>열 합계</t>
        </is>
      </c>
      <c r="B123" s="22">
        <f>SUM(B120:B122)</f>
        <v/>
      </c>
      <c r="C123" s="22">
        <f>SUM(C120:C122)</f>
        <v/>
      </c>
      <c r="D123" s="22">
        <f>SUM(D120:D122)</f>
        <v/>
      </c>
    </row>
    <row r="125">
      <c r="A125" s="16" t="inlineStr">
        <is>
          <t>[정규화행렬 및 가중치]</t>
        </is>
      </c>
    </row>
    <row r="126">
      <c r="A126" s="17" t="inlineStr"/>
      <c r="B126" s="18" t="inlineStr">
        <is>
          <t>중소기업 정책 접근성 강화</t>
        </is>
      </c>
      <c r="C126" s="18" t="inlineStr">
        <is>
          <t>청년·창업기업 참여 확대</t>
        </is>
      </c>
      <c r="D126" s="18" t="inlineStr">
        <is>
          <t>지역대학 및 지역사회 참여 확대</t>
        </is>
      </c>
      <c r="E126" s="5" t="inlineStr">
        <is>
          <t>가중치(Wi)</t>
        </is>
      </c>
    </row>
    <row r="127">
      <c r="A127" s="19" t="inlineStr">
        <is>
          <t>중소기업 정책 접근성 강화</t>
        </is>
      </c>
      <c r="B127" s="20">
        <f>B120/B123</f>
        <v/>
      </c>
      <c r="C127" s="20">
        <f>C120/C123</f>
        <v/>
      </c>
      <c r="D127" s="20">
        <f>D120/D123</f>
        <v/>
      </c>
      <c r="E127" s="23">
        <f>AVERAGE(B127:D127)</f>
        <v/>
      </c>
    </row>
    <row r="128">
      <c r="A128" s="19" t="inlineStr">
        <is>
          <t>청년·창업기업 참여 확대</t>
        </is>
      </c>
      <c r="B128" s="20">
        <f>B121/B123</f>
        <v/>
      </c>
      <c r="C128" s="20">
        <f>C121/C123</f>
        <v/>
      </c>
      <c r="D128" s="20">
        <f>D121/D123</f>
        <v/>
      </c>
      <c r="E128" s="23">
        <f>AVERAGE(B128:D128)</f>
        <v/>
      </c>
    </row>
    <row r="129">
      <c r="A129" s="19" t="inlineStr">
        <is>
          <t>지역대학 및 지역사회 참여 확대</t>
        </is>
      </c>
      <c r="B129" s="20">
        <f>B122/B123</f>
        <v/>
      </c>
      <c r="C129" s="20">
        <f>C122/C123</f>
        <v/>
      </c>
      <c r="D129" s="20">
        <f>D122/D123</f>
        <v/>
      </c>
      <c r="E129" s="23">
        <f>AVERAGE(B129:D129)</f>
        <v/>
      </c>
    </row>
    <row r="131">
      <c r="A131" s="16" t="inlineStr">
        <is>
          <t>[일관성 검증]</t>
        </is>
      </c>
    </row>
    <row r="132">
      <c r="A132" s="18" t="inlineStr">
        <is>
          <t>항목</t>
        </is>
      </c>
      <c r="B132" s="18" t="inlineStr">
        <is>
          <t>가중치(Wi)</t>
        </is>
      </c>
      <c r="C132" s="18" t="inlineStr">
        <is>
          <t>가중합(Aw)</t>
        </is>
      </c>
      <c r="D132" s="18" t="inlineStr">
        <is>
          <t>Aw/Wi</t>
        </is>
      </c>
    </row>
    <row r="133">
      <c r="A133" s="2" t="inlineStr">
        <is>
          <t>중소기업 정책 접근성 강화</t>
        </is>
      </c>
      <c r="B133" s="20">
        <f>E127</f>
        <v/>
      </c>
      <c r="C133" s="20">
        <f>B120*E127+C120*E128+D120*E129</f>
        <v/>
      </c>
      <c r="D133" s="20">
        <f>C133/B133</f>
        <v/>
      </c>
    </row>
    <row r="134">
      <c r="A134" s="2" t="inlineStr">
        <is>
          <t>청년·창업기업 참여 확대</t>
        </is>
      </c>
      <c r="B134" s="20">
        <f>E128</f>
        <v/>
      </c>
      <c r="C134" s="20">
        <f>B121*E127+C121*E128+D121*E129</f>
        <v/>
      </c>
      <c r="D134" s="20">
        <f>C134/B134</f>
        <v/>
      </c>
    </row>
    <row r="135">
      <c r="A135" s="2" t="inlineStr">
        <is>
          <t>지역대학 및 지역사회 참여 확대</t>
        </is>
      </c>
      <c r="B135" s="20">
        <f>E129</f>
        <v/>
      </c>
      <c r="C135" s="20">
        <f>B122*E127+C122*E128+D122*E129</f>
        <v/>
      </c>
      <c r="D135" s="20">
        <f>C135/B135</f>
        <v/>
      </c>
    </row>
    <row r="137">
      <c r="A137" s="21" t="inlineStr">
        <is>
          <t>λmax</t>
        </is>
      </c>
      <c r="B137" s="22">
        <f>AVERAGE(D133,D134,D135)</f>
        <v/>
      </c>
    </row>
    <row r="138">
      <c r="A138" s="21" t="inlineStr">
        <is>
          <t>CI</t>
        </is>
      </c>
      <c r="B138" s="22">
        <f>(B137-3)/(3-1)</f>
        <v/>
      </c>
    </row>
    <row r="139">
      <c r="A139" s="21" t="inlineStr">
        <is>
          <t>RI</t>
        </is>
      </c>
      <c r="B139" s="22" t="n">
        <v>0.58</v>
      </c>
    </row>
    <row r="140">
      <c r="A140" s="21" t="inlineStr">
        <is>
          <t>CR</t>
        </is>
      </c>
      <c r="B140" s="22">
        <f>B138/0.58</f>
        <v/>
      </c>
    </row>
    <row r="141">
      <c r="A141" s="21" t="inlineStr">
        <is>
          <t>판정결과</t>
        </is>
      </c>
      <c r="B141" s="24">
        <f>IF(B140&lt;=0.1,"PASS (CR&lt;=0.1, 적합)","FAIL (CR&gt;0.1, 부적합 - 재설문 필요)")</f>
        <v/>
      </c>
    </row>
    <row r="143">
      <c r="A143" s="15" t="inlineStr">
        <is>
          <t>제2계층: 지속가능성 - 정책요인 가중치 분석</t>
        </is>
      </c>
      <c r="B143" s="29" t="n"/>
      <c r="C143" s="29" t="n"/>
      <c r="D143" s="29" t="n"/>
      <c r="E143" s="29" t="n"/>
      <c r="F143" s="29" t="n"/>
      <c r="G143" s="30" t="n"/>
    </row>
    <row r="144">
      <c r="A144" s="16" t="inlineStr">
        <is>
          <t>[쌍대비교행렬 (기하평균)]</t>
        </is>
      </c>
    </row>
    <row r="145">
      <c r="A145" s="17" t="inlineStr"/>
      <c r="B145" s="18" t="inlineStr">
        <is>
          <t>정책 연속성 확보</t>
        </is>
      </c>
      <c r="C145" s="18" t="inlineStr">
        <is>
          <t>혁신거버넌스 안정화</t>
        </is>
      </c>
      <c r="D145" s="18" t="inlineStr">
        <is>
          <t>혁신인프라 유지·고도화</t>
        </is>
      </c>
    </row>
    <row r="146">
      <c r="A146" s="19" t="inlineStr">
        <is>
          <t>정책 연속성 확보</t>
        </is>
      </c>
      <c r="B146" s="20" t="n">
        <v>1</v>
      </c>
      <c r="C146" s="20">
        <f>'응답데이터'!AK36</f>
        <v/>
      </c>
      <c r="D146" s="20">
        <f>'응답데이터'!AL36</f>
        <v/>
      </c>
    </row>
    <row r="147">
      <c r="A147" s="19" t="inlineStr">
        <is>
          <t>혁신거버넌스 안정화</t>
        </is>
      </c>
      <c r="B147" s="20">
        <f>1/C146</f>
        <v/>
      </c>
      <c r="C147" s="20" t="n">
        <v>1</v>
      </c>
      <c r="D147" s="20">
        <f>'응답데이터'!AM36</f>
        <v/>
      </c>
    </row>
    <row r="148">
      <c r="A148" s="19" t="inlineStr">
        <is>
          <t>혁신인프라 유지·고도화</t>
        </is>
      </c>
      <c r="B148" s="20">
        <f>1/D146</f>
        <v/>
      </c>
      <c r="C148" s="20">
        <f>1/D147</f>
        <v/>
      </c>
      <c r="D148" s="20" t="n">
        <v>1</v>
      </c>
    </row>
    <row r="149">
      <c r="A149" s="21" t="inlineStr">
        <is>
          <t>열 합계</t>
        </is>
      </c>
      <c r="B149" s="22">
        <f>SUM(B146:B148)</f>
        <v/>
      </c>
      <c r="C149" s="22">
        <f>SUM(C146:C148)</f>
        <v/>
      </c>
      <c r="D149" s="22">
        <f>SUM(D146:D148)</f>
        <v/>
      </c>
    </row>
    <row r="151">
      <c r="A151" s="16" t="inlineStr">
        <is>
          <t>[정규화행렬 및 가중치]</t>
        </is>
      </c>
    </row>
    <row r="152">
      <c r="A152" s="17" t="inlineStr"/>
      <c r="B152" s="18" t="inlineStr">
        <is>
          <t>정책 연속성 확보</t>
        </is>
      </c>
      <c r="C152" s="18" t="inlineStr">
        <is>
          <t>혁신거버넌스 안정화</t>
        </is>
      </c>
      <c r="D152" s="18" t="inlineStr">
        <is>
          <t>혁신인프라 유지·고도화</t>
        </is>
      </c>
      <c r="E152" s="5" t="inlineStr">
        <is>
          <t>가중치(Wi)</t>
        </is>
      </c>
    </row>
    <row r="153">
      <c r="A153" s="19" t="inlineStr">
        <is>
          <t>정책 연속성 확보</t>
        </is>
      </c>
      <c r="B153" s="20">
        <f>B146/B149</f>
        <v/>
      </c>
      <c r="C153" s="20">
        <f>C146/C149</f>
        <v/>
      </c>
      <c r="D153" s="20">
        <f>D146/D149</f>
        <v/>
      </c>
      <c r="E153" s="23">
        <f>AVERAGE(B153:D153)</f>
        <v/>
      </c>
    </row>
    <row r="154">
      <c r="A154" s="19" t="inlineStr">
        <is>
          <t>혁신거버넌스 안정화</t>
        </is>
      </c>
      <c r="B154" s="20">
        <f>B147/B149</f>
        <v/>
      </c>
      <c r="C154" s="20">
        <f>C147/C149</f>
        <v/>
      </c>
      <c r="D154" s="20">
        <f>D147/D149</f>
        <v/>
      </c>
      <c r="E154" s="23">
        <f>AVERAGE(B154:D154)</f>
        <v/>
      </c>
    </row>
    <row r="155">
      <c r="A155" s="19" t="inlineStr">
        <is>
          <t>혁신인프라 유지·고도화</t>
        </is>
      </c>
      <c r="B155" s="20">
        <f>B148/B149</f>
        <v/>
      </c>
      <c r="C155" s="20">
        <f>C148/C149</f>
        <v/>
      </c>
      <c r="D155" s="20">
        <f>D148/D149</f>
        <v/>
      </c>
      <c r="E155" s="23">
        <f>AVERAGE(B155:D155)</f>
        <v/>
      </c>
    </row>
    <row r="157">
      <c r="A157" s="16" t="inlineStr">
        <is>
          <t>[일관성 검증]</t>
        </is>
      </c>
    </row>
    <row r="158">
      <c r="A158" s="18" t="inlineStr">
        <is>
          <t>항목</t>
        </is>
      </c>
      <c r="B158" s="18" t="inlineStr">
        <is>
          <t>가중치(Wi)</t>
        </is>
      </c>
      <c r="C158" s="18" t="inlineStr">
        <is>
          <t>가중합(Aw)</t>
        </is>
      </c>
      <c r="D158" s="18" t="inlineStr">
        <is>
          <t>Aw/Wi</t>
        </is>
      </c>
    </row>
    <row r="159">
      <c r="A159" s="2" t="inlineStr">
        <is>
          <t>정책 연속성 확보</t>
        </is>
      </c>
      <c r="B159" s="20">
        <f>E153</f>
        <v/>
      </c>
      <c r="C159" s="20">
        <f>B146*E153+C146*E154+D146*E155</f>
        <v/>
      </c>
      <c r="D159" s="20">
        <f>C159/B159</f>
        <v/>
      </c>
    </row>
    <row r="160">
      <c r="A160" s="2" t="inlineStr">
        <is>
          <t>혁신거버넌스 안정화</t>
        </is>
      </c>
      <c r="B160" s="20">
        <f>E154</f>
        <v/>
      </c>
      <c r="C160" s="20">
        <f>B147*E153+C147*E154+D147*E155</f>
        <v/>
      </c>
      <c r="D160" s="20">
        <f>C160/B160</f>
        <v/>
      </c>
    </row>
    <row r="161">
      <c r="A161" s="2" t="inlineStr">
        <is>
          <t>혁신인프라 유지·고도화</t>
        </is>
      </c>
      <c r="B161" s="20">
        <f>E155</f>
        <v/>
      </c>
      <c r="C161" s="20">
        <f>B148*E153+C148*E154+D148*E155</f>
        <v/>
      </c>
      <c r="D161" s="20">
        <f>C161/B161</f>
        <v/>
      </c>
    </row>
    <row r="163">
      <c r="A163" s="21" t="inlineStr">
        <is>
          <t>λmax</t>
        </is>
      </c>
      <c r="B163" s="22">
        <f>AVERAGE(D159,D160,D161)</f>
        <v/>
      </c>
    </row>
    <row r="164">
      <c r="A164" s="21" t="inlineStr">
        <is>
          <t>CI</t>
        </is>
      </c>
      <c r="B164" s="22">
        <f>(B163-3)/(3-1)</f>
        <v/>
      </c>
    </row>
    <row r="165">
      <c r="A165" s="21" t="inlineStr">
        <is>
          <t>RI</t>
        </is>
      </c>
      <c r="B165" s="22" t="n">
        <v>0.58</v>
      </c>
    </row>
    <row r="166">
      <c r="A166" s="21" t="inlineStr">
        <is>
          <t>CR</t>
        </is>
      </c>
      <c r="B166" s="22">
        <f>B164/0.58</f>
        <v/>
      </c>
    </row>
    <row r="167">
      <c r="A167" s="21" t="inlineStr">
        <is>
          <t>판정결과</t>
        </is>
      </c>
      <c r="B167" s="24">
        <f>IF(B166&lt;=0.1,"PASS (CR&lt;=0.1, 적합)","FAIL (CR&gt;0.1, 부적합 - 재설문 필요)")</f>
        <v/>
      </c>
    </row>
    <row r="169">
      <c r="A169" s="15" t="inlineStr">
        <is>
          <t>제2계층: 확장성 - 정책요인 가중치 분석</t>
        </is>
      </c>
      <c r="B169" s="29" t="n"/>
      <c r="C169" s="29" t="n"/>
      <c r="D169" s="29" t="n"/>
      <c r="E169" s="29" t="n"/>
      <c r="F169" s="29" t="n"/>
      <c r="G169" s="30" t="n"/>
    </row>
    <row r="170">
      <c r="A170" s="16" t="inlineStr">
        <is>
          <t>[쌍대비교행렬 (기하평균)]</t>
        </is>
      </c>
    </row>
    <row r="171">
      <c r="A171" s="17" t="inlineStr"/>
      <c r="B171" s="18" t="inlineStr">
        <is>
          <t>외부 지식·기술 연계</t>
        </is>
      </c>
      <c r="C171" s="18" t="inlineStr">
        <is>
          <t>글로벌 시장 진출 지원</t>
        </is>
      </c>
      <c r="D171" s="18" t="inlineStr">
        <is>
          <t>신산업 전환 및 확산</t>
        </is>
      </c>
    </row>
    <row r="172">
      <c r="A172" s="19" t="inlineStr">
        <is>
          <t>외부 지식·기술 연계</t>
        </is>
      </c>
      <c r="B172" s="20" t="n">
        <v>1</v>
      </c>
      <c r="C172" s="20">
        <f>'응답데이터'!AN36</f>
        <v/>
      </c>
      <c r="D172" s="20">
        <f>'응답데이터'!AO36</f>
        <v/>
      </c>
    </row>
    <row r="173">
      <c r="A173" s="19" t="inlineStr">
        <is>
          <t>글로벌 시장 진출 지원</t>
        </is>
      </c>
      <c r="B173" s="20">
        <f>1/C172</f>
        <v/>
      </c>
      <c r="C173" s="20" t="n">
        <v>1</v>
      </c>
      <c r="D173" s="20">
        <f>'응답데이터'!AP36</f>
        <v/>
      </c>
    </row>
    <row r="174">
      <c r="A174" s="19" t="inlineStr">
        <is>
          <t>신산업 전환 및 확산</t>
        </is>
      </c>
      <c r="B174" s="20">
        <f>1/D172</f>
        <v/>
      </c>
      <c r="C174" s="20">
        <f>1/D173</f>
        <v/>
      </c>
      <c r="D174" s="20" t="n">
        <v>1</v>
      </c>
    </row>
    <row r="175">
      <c r="A175" s="21" t="inlineStr">
        <is>
          <t>열 합계</t>
        </is>
      </c>
      <c r="B175" s="22">
        <f>SUM(B172:B174)</f>
        <v/>
      </c>
      <c r="C175" s="22">
        <f>SUM(C172:C174)</f>
        <v/>
      </c>
      <c r="D175" s="22">
        <f>SUM(D172:D174)</f>
        <v/>
      </c>
    </row>
    <row r="177">
      <c r="A177" s="16" t="inlineStr">
        <is>
          <t>[정규화행렬 및 가중치]</t>
        </is>
      </c>
    </row>
    <row r="178">
      <c r="A178" s="17" t="inlineStr"/>
      <c r="B178" s="18" t="inlineStr">
        <is>
          <t>외부 지식·기술 연계</t>
        </is>
      </c>
      <c r="C178" s="18" t="inlineStr">
        <is>
          <t>글로벌 시장 진출 지원</t>
        </is>
      </c>
      <c r="D178" s="18" t="inlineStr">
        <is>
          <t>신산업 전환 및 확산</t>
        </is>
      </c>
      <c r="E178" s="5" t="inlineStr">
        <is>
          <t>가중치(Wi)</t>
        </is>
      </c>
    </row>
    <row r="179">
      <c r="A179" s="19" t="inlineStr">
        <is>
          <t>외부 지식·기술 연계</t>
        </is>
      </c>
      <c r="B179" s="20">
        <f>B172/B175</f>
        <v/>
      </c>
      <c r="C179" s="20">
        <f>C172/C175</f>
        <v/>
      </c>
      <c r="D179" s="20">
        <f>D172/D175</f>
        <v/>
      </c>
      <c r="E179" s="23">
        <f>AVERAGE(B179:D179)</f>
        <v/>
      </c>
    </row>
    <row r="180">
      <c r="A180" s="19" t="inlineStr">
        <is>
          <t>글로벌 시장 진출 지원</t>
        </is>
      </c>
      <c r="B180" s="20">
        <f>B173/B175</f>
        <v/>
      </c>
      <c r="C180" s="20">
        <f>C173/C175</f>
        <v/>
      </c>
      <c r="D180" s="20">
        <f>D173/D175</f>
        <v/>
      </c>
      <c r="E180" s="23">
        <f>AVERAGE(B180:D180)</f>
        <v/>
      </c>
    </row>
    <row r="181">
      <c r="A181" s="19" t="inlineStr">
        <is>
          <t>신산업 전환 및 확산</t>
        </is>
      </c>
      <c r="B181" s="20">
        <f>B174/B175</f>
        <v/>
      </c>
      <c r="C181" s="20">
        <f>C174/C175</f>
        <v/>
      </c>
      <c r="D181" s="20">
        <f>D174/D175</f>
        <v/>
      </c>
      <c r="E181" s="23">
        <f>AVERAGE(B181:D181)</f>
        <v/>
      </c>
    </row>
    <row r="183">
      <c r="A183" s="16" t="inlineStr">
        <is>
          <t>[일관성 검증]</t>
        </is>
      </c>
    </row>
    <row r="184">
      <c r="A184" s="18" t="inlineStr">
        <is>
          <t>항목</t>
        </is>
      </c>
      <c r="B184" s="18" t="inlineStr">
        <is>
          <t>가중치(Wi)</t>
        </is>
      </c>
      <c r="C184" s="18" t="inlineStr">
        <is>
          <t>가중합(Aw)</t>
        </is>
      </c>
      <c r="D184" s="18" t="inlineStr">
        <is>
          <t>Aw/Wi</t>
        </is>
      </c>
    </row>
    <row r="185">
      <c r="A185" s="2" t="inlineStr">
        <is>
          <t>외부 지식·기술 연계</t>
        </is>
      </c>
      <c r="B185" s="20">
        <f>E179</f>
        <v/>
      </c>
      <c r="C185" s="20">
        <f>B172*E179+C172*E180+D172*E181</f>
        <v/>
      </c>
      <c r="D185" s="20">
        <f>C185/B185</f>
        <v/>
      </c>
    </row>
    <row r="186">
      <c r="A186" s="2" t="inlineStr">
        <is>
          <t>글로벌 시장 진출 지원</t>
        </is>
      </c>
      <c r="B186" s="20">
        <f>E180</f>
        <v/>
      </c>
      <c r="C186" s="20">
        <f>B173*E179+C173*E180+D173*E181</f>
        <v/>
      </c>
      <c r="D186" s="20">
        <f>C186/B186</f>
        <v/>
      </c>
    </row>
    <row r="187">
      <c r="A187" s="2" t="inlineStr">
        <is>
          <t>신산업 전환 및 확산</t>
        </is>
      </c>
      <c r="B187" s="20">
        <f>E181</f>
        <v/>
      </c>
      <c r="C187" s="20">
        <f>B174*E179+C174*E180+D174*E181</f>
        <v/>
      </c>
      <c r="D187" s="20">
        <f>C187/B187</f>
        <v/>
      </c>
    </row>
    <row r="189">
      <c r="A189" s="21" t="inlineStr">
        <is>
          <t>λmax</t>
        </is>
      </c>
      <c r="B189" s="22">
        <f>AVERAGE(D185,D186,D187)</f>
        <v/>
      </c>
    </row>
    <row r="190">
      <c r="A190" s="21" t="inlineStr">
        <is>
          <t>CI</t>
        </is>
      </c>
      <c r="B190" s="22">
        <f>(B189-3)/(3-1)</f>
        <v/>
      </c>
    </row>
    <row r="191">
      <c r="A191" s="21" t="inlineStr">
        <is>
          <t>RI</t>
        </is>
      </c>
      <c r="B191" s="22" t="n">
        <v>0.58</v>
      </c>
    </row>
    <row r="192">
      <c r="A192" s="21" t="inlineStr">
        <is>
          <t>CR</t>
        </is>
      </c>
      <c r="B192" s="22">
        <f>B190/0.58</f>
        <v/>
      </c>
    </row>
    <row r="193">
      <c r="A193" s="21" t="inlineStr">
        <is>
          <t>판정결과</t>
        </is>
      </c>
      <c r="B193" s="24">
        <f>IF(B192&lt;=0.1,"PASS (CR&lt;=0.1, 적합)","FAIL (CR&gt;0.1, 부적합 - 재설문 필요)")</f>
        <v/>
      </c>
    </row>
  </sheetData>
  <mergeCells count="9">
    <mergeCell ref="A169:G169"/>
    <mergeCell ref="A1:J1"/>
    <mergeCell ref="A143:G143"/>
    <mergeCell ref="A39:G39"/>
    <mergeCell ref="A91:G91"/>
    <mergeCell ref="A4:J4"/>
    <mergeCell ref="A2:J2"/>
    <mergeCell ref="A65:G65"/>
    <mergeCell ref="A117:G1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</cols>
  <sheetData>
    <row r="1">
      <c r="A1" s="13" t="inlineStr">
        <is>
          <t>AHP 종합 가중치 및 우선순위</t>
        </is>
      </c>
    </row>
    <row r="3">
      <c r="A3" s="16" t="inlineStr">
        <is>
          <t>[제1계층 핵심가치 가중치]</t>
        </is>
      </c>
    </row>
    <row r="4">
      <c r="A4" s="18" t="inlineStr">
        <is>
          <t>핵심가치</t>
        </is>
      </c>
      <c r="B4" s="18" t="inlineStr">
        <is>
          <t>가중치</t>
        </is>
      </c>
      <c r="C4" s="18" t="inlineStr">
        <is>
          <t>순위</t>
        </is>
      </c>
      <c r="D4" s="18" t="inlineStr">
        <is>
          <t>CR값</t>
        </is>
      </c>
      <c r="E4" s="18" t="inlineStr">
        <is>
          <t>적합성</t>
        </is>
      </c>
    </row>
    <row r="5">
      <c r="A5" s="25" t="inlineStr">
        <is>
          <t>자립성</t>
        </is>
      </c>
      <c r="B5" s="20">
        <f>'AHP분석결과'!H17</f>
        <v/>
      </c>
      <c r="C5" s="26">
        <f>RANK(B5,B$5:B$10)</f>
        <v/>
      </c>
      <c r="D5" s="20">
        <f>'AHP분석결과'!B36</f>
        <v/>
      </c>
      <c r="E5" s="27">
        <f>IF(D5&lt;=0.1,"적합","부적합")</f>
        <v/>
      </c>
    </row>
    <row r="6">
      <c r="A6" s="25" t="inlineStr">
        <is>
          <t>연계성</t>
        </is>
      </c>
      <c r="B6" s="20">
        <f>'AHP분석결과'!H18</f>
        <v/>
      </c>
      <c r="C6" s="26">
        <f>RANK(B6,B$5:B$10)</f>
        <v/>
      </c>
      <c r="D6" s="11" t="n"/>
      <c r="E6" s="11" t="n"/>
    </row>
    <row r="7">
      <c r="A7" s="25" t="inlineStr">
        <is>
          <t>실용성</t>
        </is>
      </c>
      <c r="B7" s="20">
        <f>'AHP분석결과'!H19</f>
        <v/>
      </c>
      <c r="C7" s="26">
        <f>RANK(B7,B$5:B$10)</f>
        <v/>
      </c>
      <c r="D7" s="11" t="n"/>
      <c r="E7" s="11" t="n"/>
    </row>
    <row r="8">
      <c r="A8" s="25" t="inlineStr">
        <is>
          <t>포용성</t>
        </is>
      </c>
      <c r="B8" s="20">
        <f>'AHP분석결과'!H20</f>
        <v/>
      </c>
      <c r="C8" s="26">
        <f>RANK(B8,B$5:B$10)</f>
        <v/>
      </c>
      <c r="D8" s="11" t="n"/>
      <c r="E8" s="11" t="n"/>
    </row>
    <row r="9">
      <c r="A9" s="25" t="inlineStr">
        <is>
          <t>지속가능성</t>
        </is>
      </c>
      <c r="B9" s="20">
        <f>'AHP분석결과'!H21</f>
        <v/>
      </c>
      <c r="C9" s="26">
        <f>RANK(B9,B$5:B$10)</f>
        <v/>
      </c>
      <c r="D9" s="11" t="n"/>
      <c r="E9" s="11" t="n"/>
    </row>
    <row r="10">
      <c r="A10" s="25" t="inlineStr">
        <is>
          <t>확장성</t>
        </is>
      </c>
      <c r="B10" s="20">
        <f>'AHP분석결과'!H22</f>
        <v/>
      </c>
      <c r="C10" s="26">
        <f>RANK(B10,B$5:B$10)</f>
        <v/>
      </c>
      <c r="D10" s="11" t="n"/>
      <c r="E10" s="11" t="n"/>
    </row>
    <row r="12">
      <c r="A12" s="16" t="inlineStr">
        <is>
          <t>[종합 가중치 (글로벌 가중치)]</t>
        </is>
      </c>
    </row>
    <row r="13">
      <c r="A13" s="18" t="inlineStr">
        <is>
          <t>핵심가치</t>
        </is>
      </c>
      <c r="B13" s="18" t="inlineStr">
        <is>
          <t>정책요인</t>
        </is>
      </c>
      <c r="C13" s="18" t="inlineStr">
        <is>
          <t>로컬가중치</t>
        </is>
      </c>
      <c r="D13" s="18" t="inlineStr">
        <is>
          <t>핵심가치가중치</t>
        </is>
      </c>
      <c r="E13" s="18" t="inlineStr">
        <is>
          <t>글로벌가중치</t>
        </is>
      </c>
      <c r="F13" s="18" t="inlineStr">
        <is>
          <t>종합순위</t>
        </is>
      </c>
      <c r="G13" s="18" t="inlineStr">
        <is>
          <t>CR값</t>
        </is>
      </c>
    </row>
    <row r="14">
      <c r="A14" s="26" t="inlineStr">
        <is>
          <t>자립성</t>
        </is>
      </c>
      <c r="B14" s="2" t="inlineStr">
        <is>
          <t>지역 R&amp;D 역량 강화</t>
        </is>
      </c>
      <c r="C14" s="20">
        <f>'AHP분석결과'!E49</f>
        <v/>
      </c>
      <c r="D14" s="20">
        <f>B5</f>
        <v/>
      </c>
      <c r="E14" s="23">
        <f>C14*D14</f>
        <v/>
      </c>
      <c r="F14" s="26">
        <f>RANK(E14,E$14:E$31)</f>
        <v/>
      </c>
      <c r="G14" s="20">
        <f>'AHP분석결과'!B62</f>
        <v/>
      </c>
    </row>
    <row r="15">
      <c r="A15" s="26" t="inlineStr">
        <is>
          <t>자립성</t>
        </is>
      </c>
      <c r="B15" s="2" t="inlineStr">
        <is>
          <t>지역기업 기술흡수역량 강화</t>
        </is>
      </c>
      <c r="C15" s="20">
        <f>'AHP분석결과'!E50</f>
        <v/>
      </c>
      <c r="D15" s="20">
        <f>B5</f>
        <v/>
      </c>
      <c r="E15" s="23">
        <f>C15*D15</f>
        <v/>
      </c>
      <c r="F15" s="26">
        <f>RANK(E15,E$14:E$31)</f>
        <v/>
      </c>
      <c r="G15" s="11" t="n"/>
    </row>
    <row r="16">
      <c r="A16" s="26" t="inlineStr">
        <is>
          <t>자립성</t>
        </is>
      </c>
      <c r="B16" s="2" t="inlineStr">
        <is>
          <t>지역혁신 인재양성</t>
        </is>
      </c>
      <c r="C16" s="20">
        <f>'AHP분석결과'!E51</f>
        <v/>
      </c>
      <c r="D16" s="20">
        <f>B5</f>
        <v/>
      </c>
      <c r="E16" s="23">
        <f>C16*D16</f>
        <v/>
      </c>
      <c r="F16" s="26">
        <f>RANK(E16,E$14:E$31)</f>
        <v/>
      </c>
      <c r="G16" s="11" t="n"/>
    </row>
    <row r="17">
      <c r="A17" s="26" t="inlineStr">
        <is>
          <t>연계성</t>
        </is>
      </c>
      <c r="B17" s="2" t="inlineStr">
        <is>
          <t>산·학·연·관 협력 강화</t>
        </is>
      </c>
      <c r="C17" s="20">
        <f>'AHP분석결과'!E75</f>
        <v/>
      </c>
      <c r="D17" s="20">
        <f>B6</f>
        <v/>
      </c>
      <c r="E17" s="23">
        <f>C17*D17</f>
        <v/>
      </c>
      <c r="F17" s="26">
        <f>RANK(E17,E$14:E$31)</f>
        <v/>
      </c>
      <c r="G17" s="20">
        <f>'AHP분석결과'!B88</f>
        <v/>
      </c>
    </row>
    <row r="18">
      <c r="A18" s="26" t="inlineStr">
        <is>
          <t>연계성</t>
        </is>
      </c>
      <c r="B18" s="2" t="inlineStr">
        <is>
          <t>기업 간 네트워크 활성화</t>
        </is>
      </c>
      <c r="C18" s="20">
        <f>'AHP분석결과'!E76</f>
        <v/>
      </c>
      <c r="D18" s="20">
        <f>B6</f>
        <v/>
      </c>
      <c r="E18" s="23">
        <f>C18*D18</f>
        <v/>
      </c>
      <c r="F18" s="26">
        <f>RANK(E18,E$14:E$31)</f>
        <v/>
      </c>
      <c r="G18" s="11" t="n"/>
    </row>
    <row r="19">
      <c r="A19" s="26" t="inlineStr">
        <is>
          <t>연계성</t>
        </is>
      </c>
      <c r="B19" s="2" t="inlineStr">
        <is>
          <t>중간지원기관 조정 기능 강화</t>
        </is>
      </c>
      <c r="C19" s="20">
        <f>'AHP분석결과'!E77</f>
        <v/>
      </c>
      <c r="D19" s="20">
        <f>B6</f>
        <v/>
      </c>
      <c r="E19" s="23">
        <f>C19*D19</f>
        <v/>
      </c>
      <c r="F19" s="26">
        <f>RANK(E19,E$14:E$31)</f>
        <v/>
      </c>
      <c r="G19" s="11" t="n"/>
    </row>
    <row r="20">
      <c r="A20" s="26" t="inlineStr">
        <is>
          <t>실용성</t>
        </is>
      </c>
      <c r="B20" s="2" t="inlineStr">
        <is>
          <t>기술사업화 지원</t>
        </is>
      </c>
      <c r="C20" s="20">
        <f>'AHP분석결과'!E101</f>
        <v/>
      </c>
      <c r="D20" s="20">
        <f>B7</f>
        <v/>
      </c>
      <c r="E20" s="23">
        <f>C20*D20</f>
        <v/>
      </c>
      <c r="F20" s="26">
        <f>RANK(E20,E$14:E$31)</f>
        <v/>
      </c>
      <c r="G20" s="20">
        <f>'AHP분석결과'!B114</f>
        <v/>
      </c>
    </row>
    <row r="21">
      <c r="A21" s="26" t="inlineStr">
        <is>
          <t>실용성</t>
        </is>
      </c>
      <c r="B21" s="2" t="inlineStr">
        <is>
          <t>기업 기술애로 해결</t>
        </is>
      </c>
      <c r="C21" s="20">
        <f>'AHP분석결과'!E102</f>
        <v/>
      </c>
      <c r="D21" s="20">
        <f>B7</f>
        <v/>
      </c>
      <c r="E21" s="23">
        <f>C21*D21</f>
        <v/>
      </c>
      <c r="F21" s="26">
        <f>RANK(E21,E$14:E$31)</f>
        <v/>
      </c>
      <c r="G21" s="11" t="n"/>
    </row>
    <row r="22">
      <c r="A22" s="26" t="inlineStr">
        <is>
          <t>실용성</t>
        </is>
      </c>
      <c r="B22" s="2" t="inlineStr">
        <is>
          <t>매출·고용 창출 연계</t>
        </is>
      </c>
      <c r="C22" s="20">
        <f>'AHP분석결과'!E103</f>
        <v/>
      </c>
      <c r="D22" s="20">
        <f>B7</f>
        <v/>
      </c>
      <c r="E22" s="23">
        <f>C22*D22</f>
        <v/>
      </c>
      <c r="F22" s="26">
        <f>RANK(E22,E$14:E$31)</f>
        <v/>
      </c>
      <c r="G22" s="11" t="n"/>
    </row>
    <row r="23">
      <c r="A23" s="26" t="inlineStr">
        <is>
          <t>포용성</t>
        </is>
      </c>
      <c r="B23" s="2" t="inlineStr">
        <is>
          <t>중소기업 정책 접근성 강화</t>
        </is>
      </c>
      <c r="C23" s="20">
        <f>'AHP분석결과'!E127</f>
        <v/>
      </c>
      <c r="D23" s="20">
        <f>B8</f>
        <v/>
      </c>
      <c r="E23" s="23">
        <f>C23*D23</f>
        <v/>
      </c>
      <c r="F23" s="26">
        <f>RANK(E23,E$14:E$31)</f>
        <v/>
      </c>
      <c r="G23" s="20">
        <f>'AHP분석결과'!B140</f>
        <v/>
      </c>
    </row>
    <row r="24">
      <c r="A24" s="26" t="inlineStr">
        <is>
          <t>포용성</t>
        </is>
      </c>
      <c r="B24" s="2" t="inlineStr">
        <is>
          <t>청년·창업기업 참여 확대</t>
        </is>
      </c>
      <c r="C24" s="20">
        <f>'AHP분석결과'!E128</f>
        <v/>
      </c>
      <c r="D24" s="20">
        <f>B8</f>
        <v/>
      </c>
      <c r="E24" s="23">
        <f>C24*D24</f>
        <v/>
      </c>
      <c r="F24" s="26">
        <f>RANK(E24,E$14:E$31)</f>
        <v/>
      </c>
      <c r="G24" s="11" t="n"/>
    </row>
    <row r="25">
      <c r="A25" s="26" t="inlineStr">
        <is>
          <t>포용성</t>
        </is>
      </c>
      <c r="B25" s="2" t="inlineStr">
        <is>
          <t>지역대학 및 지역사회 참여 확대</t>
        </is>
      </c>
      <c r="C25" s="20">
        <f>'AHP분석결과'!E129</f>
        <v/>
      </c>
      <c r="D25" s="20">
        <f>B8</f>
        <v/>
      </c>
      <c r="E25" s="23">
        <f>C25*D25</f>
        <v/>
      </c>
      <c r="F25" s="26">
        <f>RANK(E25,E$14:E$31)</f>
        <v/>
      </c>
      <c r="G25" s="11" t="n"/>
    </row>
    <row r="26">
      <c r="A26" s="26" t="inlineStr">
        <is>
          <t>지속가능성</t>
        </is>
      </c>
      <c r="B26" s="2" t="inlineStr">
        <is>
          <t>정책 연속성 확보</t>
        </is>
      </c>
      <c r="C26" s="20">
        <f>'AHP분석결과'!E153</f>
        <v/>
      </c>
      <c r="D26" s="20">
        <f>B9</f>
        <v/>
      </c>
      <c r="E26" s="23">
        <f>C26*D26</f>
        <v/>
      </c>
      <c r="F26" s="26">
        <f>RANK(E26,E$14:E$31)</f>
        <v/>
      </c>
      <c r="G26" s="20">
        <f>'AHP분석결과'!B166</f>
        <v/>
      </c>
    </row>
    <row r="27">
      <c r="A27" s="26" t="inlineStr">
        <is>
          <t>지속가능성</t>
        </is>
      </c>
      <c r="B27" s="2" t="inlineStr">
        <is>
          <t>혁신거버넌스 안정화</t>
        </is>
      </c>
      <c r="C27" s="20">
        <f>'AHP분석결과'!E154</f>
        <v/>
      </c>
      <c r="D27" s="20">
        <f>B9</f>
        <v/>
      </c>
      <c r="E27" s="23">
        <f>C27*D27</f>
        <v/>
      </c>
      <c r="F27" s="26">
        <f>RANK(E27,E$14:E$31)</f>
        <v/>
      </c>
      <c r="G27" s="11" t="n"/>
    </row>
    <row r="28">
      <c r="A28" s="26" t="inlineStr">
        <is>
          <t>지속가능성</t>
        </is>
      </c>
      <c r="B28" s="2" t="inlineStr">
        <is>
          <t>혁신인프라 유지·고도화</t>
        </is>
      </c>
      <c r="C28" s="20">
        <f>'AHP분석결과'!E155</f>
        <v/>
      </c>
      <c r="D28" s="20">
        <f>B9</f>
        <v/>
      </c>
      <c r="E28" s="23">
        <f>C28*D28</f>
        <v/>
      </c>
      <c r="F28" s="26">
        <f>RANK(E28,E$14:E$31)</f>
        <v/>
      </c>
      <c r="G28" s="11" t="n"/>
    </row>
    <row r="29">
      <c r="A29" s="26" t="inlineStr">
        <is>
          <t>확장성</t>
        </is>
      </c>
      <c r="B29" s="2" t="inlineStr">
        <is>
          <t>외부 지식·기술 연계</t>
        </is>
      </c>
      <c r="C29" s="20">
        <f>'AHP분석결과'!E179</f>
        <v/>
      </c>
      <c r="D29" s="20">
        <f>B10</f>
        <v/>
      </c>
      <c r="E29" s="23">
        <f>C29*D29</f>
        <v/>
      </c>
      <c r="F29" s="26">
        <f>RANK(E29,E$14:E$31)</f>
        <v/>
      </c>
      <c r="G29" s="20">
        <f>'AHP분석결과'!B192</f>
        <v/>
      </c>
    </row>
    <row r="30">
      <c r="A30" s="26" t="inlineStr">
        <is>
          <t>확장성</t>
        </is>
      </c>
      <c r="B30" s="2" t="inlineStr">
        <is>
          <t>글로벌 시장 진출 지원</t>
        </is>
      </c>
      <c r="C30" s="20">
        <f>'AHP분석결과'!E180</f>
        <v/>
      </c>
      <c r="D30" s="20">
        <f>B10</f>
        <v/>
      </c>
      <c r="E30" s="23">
        <f>C30*D30</f>
        <v/>
      </c>
      <c r="F30" s="26">
        <f>RANK(E30,E$14:E$31)</f>
        <v/>
      </c>
      <c r="G30" s="11" t="n"/>
    </row>
    <row r="31">
      <c r="A31" s="26" t="inlineStr">
        <is>
          <t>확장성</t>
        </is>
      </c>
      <c r="B31" s="2" t="inlineStr">
        <is>
          <t>신산업 전환 및 확산</t>
        </is>
      </c>
      <c r="C31" s="20">
        <f>'AHP분석결과'!E181</f>
        <v/>
      </c>
      <c r="D31" s="20">
        <f>B10</f>
        <v/>
      </c>
      <c r="E31" s="23">
        <f>C31*D31</f>
        <v/>
      </c>
      <c r="F31" s="26">
        <f>RANK(E31,E$14:E$31)</f>
        <v/>
      </c>
      <c r="G31" s="11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86C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7AE6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8E44AD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C0392B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2C3E50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AHP 분석의 한계 및 결론</t>
        </is>
      </c>
    </row>
    <row r="3">
      <c r="A3" s="28" t="inlineStr">
        <is>
          <t>1. 연구 목적 및 의의</t>
        </is>
      </c>
      <c r="B3" s="29" t="n"/>
      <c r="C3" s="29" t="n"/>
      <c r="D3" s="29" t="n"/>
      <c r="E3" s="29" t="n"/>
      <c r="F3" s="29" t="n"/>
      <c r="G3" s="29" t="n"/>
      <c r="H3" s="30" t="n"/>
    </row>
    <row r="4">
      <c r="A4" s="14" t="inlineStr">
        <is>
          <t>본 연구는 충남 지역혁신체제 구축을 위한 핵심가치(자립성, 연계성, 실용성, 포용성, 지속가능성, 확장성)와</t>
        </is>
      </c>
    </row>
    <row r="5">
      <c r="A5" s="14" t="inlineStr">
        <is>
          <t>18개 정책요인의 상대적 중요도 및 우선순위를 AHP(Analytic Hierarchy Process) 기법을 통해 분석하였다.</t>
        </is>
      </c>
    </row>
    <row r="6">
      <c r="A6" s="14" t="inlineStr">
        <is>
          <t>이를 통해 지역혁신정책 수립 시 전문가 관점에서의 정책적 우선순위를 실증적으로 도출하고자 하였다.</t>
        </is>
      </c>
    </row>
    <row r="8">
      <c r="A8" s="28" t="inlineStr">
        <is>
          <t>2. 분석 방법론</t>
        </is>
      </c>
      <c r="B8" s="29" t="n"/>
      <c r="C8" s="29" t="n"/>
      <c r="D8" s="29" t="n"/>
      <c r="E8" s="29" t="n"/>
      <c r="F8" s="29" t="n"/>
      <c r="G8" s="29" t="n"/>
      <c r="H8" s="30" t="n"/>
    </row>
    <row r="9">
      <c r="A9" s="14" t="inlineStr">
        <is>
          <t>AHP 기법은 Saaty(1980)가 개발한 다기준 의사결정 방법으로, 복잡한 의사결정 문제를 계층화하고</t>
        </is>
      </c>
    </row>
    <row r="10">
      <c r="A10" s="14" t="inlineStr">
        <is>
          <t>쌍대비교를 통해 각 요인의 상대적 중요도를 도출한다.</t>
        </is>
      </c>
    </row>
    <row r="11">
      <c r="A11" s="14" t="inlineStr">
        <is>
          <t>본 연구는 2계층 구조(제1계층: 6개 핵심가치, 제2계층: 각 3개 정책요인)로 설계하였으며,</t>
        </is>
      </c>
    </row>
    <row r="12">
      <c r="A12" s="14" t="inlineStr">
        <is>
          <t>9점 척도를 활용한 쌍대비교를 통해 가중치를 산출하고 일관성 비율(CR&lt;=0.1)을 검증하였다.</t>
        </is>
      </c>
    </row>
    <row r="13">
      <c r="A13" s="14" t="inlineStr"/>
    </row>
    <row r="14">
      <c r="A14" s="14" t="inlineStr">
        <is>
          <t>[AHP 계산 절차]</t>
        </is>
      </c>
    </row>
    <row r="15">
      <c r="A15" s="14" t="inlineStr">
        <is>
          <t>Step 1: 전문가 응답을 기하평균으로 통합하여 그룹 쌍대비교행렬(A) 구성</t>
        </is>
      </c>
    </row>
    <row r="16">
      <c r="A16" s="14" t="inlineStr">
        <is>
          <t>Step 2: 각 열의 합계 산출</t>
        </is>
      </c>
    </row>
    <row r="17">
      <c r="A17" s="14" t="inlineStr">
        <is>
          <t>Step 3: 정규화행렬 산출 (각 원소 / 해당 열 합계)</t>
        </is>
      </c>
    </row>
    <row r="18">
      <c r="A18" s="14" t="inlineStr">
        <is>
          <t>Step 4: 가중치(Wi) = 정규화행렬의 각 행 평균</t>
        </is>
      </c>
    </row>
    <row r="19">
      <c r="A19" s="14" t="inlineStr">
        <is>
          <t>Step 5: 가중합벡터(Aw) = 원래 행렬 x 가중치 벡터</t>
        </is>
      </c>
    </row>
    <row r="20">
      <c r="A20" s="14" t="inlineStr">
        <is>
          <t>Step 6: lambda_max = (Aw/Wi)의 평균</t>
        </is>
      </c>
    </row>
    <row r="21">
      <c r="A21" s="14" t="inlineStr">
        <is>
          <t>Step 7: CI = (lambda_max - n) / (n - 1)</t>
        </is>
      </c>
    </row>
    <row r="22">
      <c r="A22" s="14" t="inlineStr">
        <is>
          <t>Step 8: CR = CI / RI, CR &lt;= 0.1이면 적합</t>
        </is>
      </c>
    </row>
    <row r="23">
      <c r="A23" s="14" t="inlineStr"/>
    </row>
    <row r="24">
      <c r="A24" s="14" t="inlineStr">
        <is>
          <t>[RI(무작위지수) 참조표 - Saaty]</t>
        </is>
      </c>
    </row>
    <row r="25">
      <c r="A25" s="14" t="inlineStr">
        <is>
          <t>n=3: 0.58 / n=4: 0.90 / n=5: 1.12 / n=6: 1.24 / n=7: 1.32</t>
        </is>
      </c>
    </row>
    <row r="27">
      <c r="A27" s="28" t="inlineStr">
        <is>
          <t>3. 연구 결과 해석 가이드</t>
        </is>
      </c>
      <c r="B27" s="29" t="n"/>
      <c r="C27" s="29" t="n"/>
      <c r="D27" s="29" t="n"/>
      <c r="E27" s="29" t="n"/>
      <c r="F27" s="29" t="n"/>
      <c r="G27" s="29" t="n"/>
      <c r="H27" s="30" t="n"/>
    </row>
    <row r="28">
      <c r="A28" s="14" t="inlineStr">
        <is>
          <t>- 제1계층 가중치: 6개 핵심가치 중 어떤 가치가 지역혁신체제에서 가장 중요한지를 나타냄</t>
        </is>
      </c>
    </row>
    <row r="29">
      <c r="A29" s="14" t="inlineStr">
        <is>
          <t>- 제2계층 로컬 가중치: 각 핵심가치 내에서 정책요인의 상대적 중요도</t>
        </is>
      </c>
    </row>
    <row r="30">
      <c r="A30" s="14" t="inlineStr">
        <is>
          <t>- 글로벌 가중치: 제1계층 가중치 x 로컬 가중치로 산출, 18개 정책요인의 전체 순위 결정</t>
        </is>
      </c>
    </row>
    <row r="31">
      <c r="A31" s="14" t="inlineStr">
        <is>
          <t>- CR 값이 0.1을 초과하는 경우 해당 응답의 일관성이 부족하므로 재설문이 필요함</t>
        </is>
      </c>
    </row>
    <row r="32">
      <c r="A32" s="14" t="inlineStr">
        <is>
          <t>- 다수 응답자의 경우 기하평균(Geometric Mean)으로 통합하여 그룹 판단을 도출함</t>
        </is>
      </c>
    </row>
    <row r="34">
      <c r="A34" s="28" t="inlineStr">
        <is>
          <t>4. 연구의 한계</t>
        </is>
      </c>
      <c r="B34" s="29" t="n"/>
      <c r="C34" s="29" t="n"/>
      <c r="D34" s="29" t="n"/>
      <c r="E34" s="29" t="n"/>
      <c r="F34" s="29" t="n"/>
      <c r="G34" s="29" t="n"/>
      <c r="H34" s="30" t="n"/>
    </row>
    <row r="35">
      <c r="A35" s="14" t="inlineStr">
        <is>
          <t>(1) 전문가 패널 구성의 한계</t>
        </is>
      </c>
    </row>
    <row r="36">
      <c r="A36" s="14" t="inlineStr">
        <is>
          <t xml:space="preserve">   - AHP 분석은 소수 전문가 패널의 판단에 의존하므로, 패널 구성에 따라 결과가 달라질 수 있음</t>
        </is>
      </c>
    </row>
    <row r="37">
      <c r="A37" s="14" t="inlineStr">
        <is>
          <t xml:space="preserve">   - 특정 분야(산업계, 학계, 공공부문) 전문가의 과대/과소 대표 가능성 존재</t>
        </is>
      </c>
    </row>
    <row r="38">
      <c r="A38" s="14" t="inlineStr">
        <is>
          <t xml:space="preserve">   - 충남 지역 특수성을 반영한 전문가 선정 기준의 객관성 확보 필요</t>
        </is>
      </c>
    </row>
    <row r="39">
      <c r="A39" s="14" t="inlineStr"/>
    </row>
    <row r="40">
      <c r="A40" s="14" t="inlineStr">
        <is>
          <t>(2) AHP 기법의 방법론적 한계</t>
        </is>
      </c>
    </row>
    <row r="41">
      <c r="A41" s="14" t="inlineStr">
        <is>
          <t xml:space="preserve">   - 9점 척도의 주관성: 응답자마다 척도 해석이 다를 수 있음</t>
        </is>
      </c>
    </row>
    <row r="42">
      <c r="A42" s="14" t="inlineStr">
        <is>
          <t xml:space="preserve">   - 쌍대비교 항목 수 증가 시 응답 피로도 증가 및 일관성 저하 우려</t>
        </is>
      </c>
    </row>
    <row r="43">
      <c r="A43" s="14" t="inlineStr">
        <is>
          <t xml:space="preserve">   - 본 연구의 제1계층 6개 항목 비교 시 15개 쌍대비교가 필요하여 응답 부담 존재</t>
        </is>
      </c>
    </row>
    <row r="44">
      <c r="A44" s="14" t="inlineStr">
        <is>
          <t xml:space="preserve">   - 정량적 데이터가 아닌 주관적 판단에 기반하므로 결과의 일반화에 주의 필요</t>
        </is>
      </c>
    </row>
    <row r="45">
      <c r="A45" s="14" t="inlineStr"/>
    </row>
    <row r="46">
      <c r="A46" s="14" t="inlineStr">
        <is>
          <t>(3) 계층구조 설계의 한계</t>
        </is>
      </c>
    </row>
    <row r="47">
      <c r="A47" s="14" t="inlineStr">
        <is>
          <t xml:space="preserve">   - 각 핵심가치별 정책요인을 3개로 한정하여 일부 중요 정책요인이 누락되었을 가능성</t>
        </is>
      </c>
    </row>
    <row r="48">
      <c r="A48" s="14" t="inlineStr">
        <is>
          <t xml:space="preserve">   - 정책요인 간 상호 연관성(독립성 가정)이 현실에서는 완전히 성립하지 않을 수 있음</t>
        </is>
      </c>
    </row>
    <row r="49">
      <c r="A49" s="14" t="inlineStr">
        <is>
          <t xml:space="preserve">   - ANP(Analytic Network Process) 등 상호 의존성을 고려한 분석 기법 적용 필요성 존재</t>
        </is>
      </c>
    </row>
    <row r="50">
      <c r="A50" s="14" t="inlineStr"/>
    </row>
    <row r="51">
      <c r="A51" s="14" t="inlineStr">
        <is>
          <t>(4) 시간적/공간적 한계</t>
        </is>
      </c>
    </row>
    <row r="52">
      <c r="A52" s="14" t="inlineStr">
        <is>
          <t xml:space="preserve">   - 특정 시점의 전문가 인식을 반영하므로 정책환경 변화 시 결과 재검증 필요</t>
        </is>
      </c>
    </row>
    <row r="53">
      <c r="A53" s="14" t="inlineStr">
        <is>
          <t xml:space="preserve">   - 충남 지역에 특화된 결과로 다른 지역에의 직접 적용에는 한계</t>
        </is>
      </c>
    </row>
    <row r="54">
      <c r="A54" s="14" t="inlineStr"/>
    </row>
    <row r="55">
      <c r="A55" s="14" t="inlineStr">
        <is>
          <t>(5) 기하평균 통합의 한계</t>
        </is>
      </c>
    </row>
    <row r="56">
      <c r="A56" s="14" t="inlineStr">
        <is>
          <t xml:space="preserve">   - 개별 응답자의 일관성 비율(CR) 검증 후 부적합 응답 제외가 이상적이나,</t>
        </is>
      </c>
    </row>
    <row r="57">
      <c r="A57" s="14" t="inlineStr">
        <is>
          <t xml:space="preserve">     본 분석에서는 기하평균 통합 후 그룹 수준의 CR만 산출함</t>
        </is>
      </c>
    </row>
    <row r="58">
      <c r="A58" s="14" t="inlineStr">
        <is>
          <t xml:space="preserve">   - 응답자 간 의견 분산(합의도)에 대한 추가 분석 필요</t>
        </is>
      </c>
    </row>
    <row r="60">
      <c r="A60" s="28" t="inlineStr">
        <is>
          <t>5. 결론 및 정책적 시사점</t>
        </is>
      </c>
      <c r="B60" s="29" t="n"/>
      <c r="C60" s="29" t="n"/>
      <c r="D60" s="29" t="n"/>
      <c r="E60" s="29" t="n"/>
      <c r="F60" s="29" t="n"/>
      <c r="G60" s="29" t="n"/>
      <c r="H60" s="30" t="n"/>
    </row>
    <row r="61">
      <c r="A61" s="14" t="inlineStr">
        <is>
          <t>본 연구는 AHP 분석을 통해 충남 지역혁신체제 구축을 위한 핵심가치와 정책요인의 우선순위를</t>
        </is>
      </c>
    </row>
    <row r="62">
      <c r="A62" s="14" t="inlineStr">
        <is>
          <t>체계적으로 도출하였다. 분석 결과를 바탕으로 다음과 같은 정책적 시사점을 제시한다.</t>
        </is>
      </c>
    </row>
    <row r="63">
      <c r="A63" s="14" t="inlineStr"/>
    </row>
    <row r="64">
      <c r="A64" s="14" t="inlineStr">
        <is>
          <t>(1) 가중치가 높은 핵심가치를 중심으로 지역혁신정책의 전략적 방향성 설정 필요</t>
        </is>
      </c>
    </row>
    <row r="65">
      <c r="A65" s="14" t="inlineStr">
        <is>
          <t>(2) 글로벌 가중치 상위 정책요인에 대한 우선적 자원 배분 및 실행계획 수립 필요</t>
        </is>
      </c>
    </row>
    <row r="66">
      <c r="A66" s="14" t="inlineStr">
        <is>
          <t>(3) 하위 순위 정책요인의 경우에도 장기적 관점에서 기반 조성 정책 병행 필요</t>
        </is>
      </c>
    </row>
    <row r="67">
      <c r="A67" s="14" t="inlineStr">
        <is>
          <t>(4) 전문가 그룹별(산업계, 학계, 공공부문) 인식 차이 분석을 통한 맞춤형 정책 수립 검토</t>
        </is>
      </c>
    </row>
    <row r="68">
      <c r="A68" s="14" t="inlineStr">
        <is>
          <t>(5) 정기적 AHP 재분석을 통한 정책환경 변화 모니터링 및 우선순위 갱신 권고</t>
        </is>
      </c>
    </row>
    <row r="69">
      <c r="A69" s="14" t="inlineStr"/>
    </row>
    <row r="70">
      <c r="A70" s="14" t="inlineStr">
        <is>
          <t>향후 연구에서는 ANP 기법 적용, 응답자 그룹 간 비교분석, Fuzzy-AHP, DEMATEL-ANP 통합 분석 등을</t>
        </is>
      </c>
    </row>
    <row r="71">
      <c r="A71" s="14" t="inlineStr">
        <is>
          <t>통해 보다 정교한 정책 우선순위 분석이 이루어질 필요가 있다.</t>
        </is>
      </c>
    </row>
    <row r="73">
      <c r="A73" s="28" t="inlineStr">
        <is>
          <t>6. 참고문헌</t>
        </is>
      </c>
      <c r="B73" s="29" t="n"/>
      <c r="C73" s="29" t="n"/>
      <c r="D73" s="29" t="n"/>
      <c r="E73" s="29" t="n"/>
      <c r="F73" s="29" t="n"/>
      <c r="G73" s="29" t="n"/>
      <c r="H73" s="30" t="n"/>
    </row>
    <row r="74">
      <c r="A74" s="14" t="inlineStr">
        <is>
          <t>- Saaty, T. L. (1980). The Analytic Hierarchy Process. McGraw-Hill.</t>
        </is>
      </c>
    </row>
    <row r="75">
      <c r="A75" s="14" t="inlineStr">
        <is>
          <t>- Saaty, T. L. (2008). Decision making with the analytic hierarchy process.</t>
        </is>
      </c>
    </row>
    <row r="76">
      <c r="A76" s="14" t="inlineStr">
        <is>
          <t xml:space="preserve">  International Journal of Services Sciences, 1(1), 83-98.</t>
        </is>
      </c>
    </row>
    <row r="77">
      <c r="A77" s="14" t="inlineStr">
        <is>
          <t>- Saaty, T. L., &amp; Peniwati, K. (2013). Group Decision Making.</t>
        </is>
      </c>
    </row>
    <row r="78">
      <c r="A78" s="14" t="inlineStr">
        <is>
          <t>- Forman, E., &amp; Peniwati, K. (1998). Aggregating individual judgments and</t>
        </is>
      </c>
    </row>
    <row r="79">
      <c r="A79" s="14" t="inlineStr">
        <is>
          <t xml:space="preserve">  priorities with the analytic hierarchy process. EJOR, 108(1), 165-169.</t>
        </is>
      </c>
    </row>
    <row r="80">
      <c r="A80" s="14" t="inlineStr">
        <is>
          <t>- 조근태, 조용곤, 강현수 (2003). 앞서가는 리더들의 계층분석적 의사결정. 동현출판사.</t>
        </is>
      </c>
    </row>
  </sheetData>
  <mergeCells count="74">
    <mergeCell ref="A9:H9"/>
    <mergeCell ref="A67:H67"/>
    <mergeCell ref="A48:H48"/>
    <mergeCell ref="A30:H30"/>
    <mergeCell ref="A39:H39"/>
    <mergeCell ref="A77:H77"/>
    <mergeCell ref="A15:H15"/>
    <mergeCell ref="A24:H24"/>
    <mergeCell ref="A73:H73"/>
    <mergeCell ref="A51:H51"/>
    <mergeCell ref="A64:H64"/>
    <mergeCell ref="A60:H60"/>
    <mergeCell ref="A36:H36"/>
    <mergeCell ref="A11:H11"/>
    <mergeCell ref="A49:H49"/>
    <mergeCell ref="A1:H1"/>
    <mergeCell ref="A45:H45"/>
    <mergeCell ref="A79:H79"/>
    <mergeCell ref="A61:H61"/>
    <mergeCell ref="A6:H6"/>
    <mergeCell ref="A70:H70"/>
    <mergeCell ref="A78:H78"/>
    <mergeCell ref="A69:H69"/>
    <mergeCell ref="A25:H25"/>
    <mergeCell ref="A65:H65"/>
    <mergeCell ref="A16:H16"/>
    <mergeCell ref="A54:H54"/>
    <mergeCell ref="A41:H41"/>
    <mergeCell ref="A66:H66"/>
    <mergeCell ref="A80:H80"/>
    <mergeCell ref="A37:H37"/>
    <mergeCell ref="A46:H46"/>
    <mergeCell ref="A27:H27"/>
    <mergeCell ref="A75:H75"/>
    <mergeCell ref="A74:H74"/>
    <mergeCell ref="A12:H12"/>
    <mergeCell ref="A18:H18"/>
    <mergeCell ref="A50:H50"/>
    <mergeCell ref="A3:H3"/>
    <mergeCell ref="A21:H21"/>
    <mergeCell ref="A56:H56"/>
    <mergeCell ref="A55:H55"/>
    <mergeCell ref="A57:H57"/>
    <mergeCell ref="A71:H71"/>
    <mergeCell ref="A42:H42"/>
    <mergeCell ref="A76:H76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62:H62"/>
    <mergeCell ref="A53:H53"/>
    <mergeCell ref="A29:H29"/>
    <mergeCell ref="A35:H35"/>
    <mergeCell ref="A20:H20"/>
    <mergeCell ref="A38:H38"/>
    <mergeCell ref="A43:H43"/>
    <mergeCell ref="A63:H63"/>
    <mergeCell ref="A52:H52"/>
    <mergeCell ref="A10:H10"/>
    <mergeCell ref="A28:H28"/>
    <mergeCell ref="A13:H13"/>
    <mergeCell ref="A19:H19"/>
    <mergeCell ref="A44:H44"/>
    <mergeCell ref="A68:H68"/>
    <mergeCell ref="A31:H31"/>
    <mergeCell ref="A58:H58"/>
    <mergeCell ref="A34:H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498DB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엑셀 파일 사용 안내</t>
        </is>
      </c>
    </row>
    <row r="3">
      <c r="A3" s="28" t="inlineStr">
        <is>
          <t>사용 절차</t>
        </is>
      </c>
      <c r="B3" s="29" t="n"/>
      <c r="C3" s="29" t="n"/>
      <c r="D3" s="29" t="n"/>
      <c r="E3" s="29" t="n"/>
      <c r="F3" s="29" t="n"/>
      <c r="G3" s="29" t="n"/>
      <c r="H3" s="30" t="n"/>
    </row>
    <row r="4">
      <c r="A4" s="14" t="inlineStr">
        <is>
          <t>1. 온라인 설문지(AHP_설문조사.html)를 응답자에게 배포합니다.</t>
        </is>
      </c>
    </row>
    <row r="5">
      <c r="A5" s="14" t="inlineStr">
        <is>
          <t>2. 응답자가 설문 완료 후 CSV 파일을 다운로드합니다.</t>
        </is>
      </c>
    </row>
    <row r="6">
      <c r="A6" s="14" t="inlineStr">
        <is>
          <t>3. CSV 파일을 열어 쌍대비교값(9번째 열부터)을 복사합니다.</t>
        </is>
      </c>
    </row>
    <row r="7">
      <c r="A7" s="14" t="inlineStr">
        <is>
          <t>4. 본 엑셀의 '응답데이터' 시트 노란색 셀에 붙여넣습니다.</t>
        </is>
      </c>
    </row>
    <row r="8">
      <c r="A8" s="14" t="inlineStr">
        <is>
          <t>5. 'AHP분석결과' 시트에서 자동 계산된 결과를 확인합니다.</t>
        </is>
      </c>
    </row>
    <row r="9">
      <c r="A9" s="14" t="inlineStr">
        <is>
          <t>6. '종합순위' 시트에서 최종 우선순위를 확인합니다.</t>
        </is>
      </c>
    </row>
    <row r="10">
      <c r="A10" s="14" t="inlineStr">
        <is>
          <t>7. '차트분석' 시트에서 시각화 결과를 확인합니다.</t>
        </is>
      </c>
    </row>
    <row r="12">
      <c r="A12" s="28" t="inlineStr">
        <is>
          <t>입력값 설명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>
      <c r="A13" s="14" t="inlineStr">
        <is>
          <t>- 왼쪽 항목이 절대적으로 중요: 9</t>
        </is>
      </c>
    </row>
    <row r="14">
      <c r="A14" s="14" t="inlineStr">
        <is>
          <t>- 왼쪽 항목이 매우 중요: 7</t>
        </is>
      </c>
    </row>
    <row r="15">
      <c r="A15" s="14" t="inlineStr">
        <is>
          <t>- 왼쪽 항목이 강하게 중요: 5</t>
        </is>
      </c>
    </row>
    <row r="16">
      <c r="A16" s="14" t="inlineStr">
        <is>
          <t>- 왼쪽 항목이 약간 중요: 3</t>
        </is>
      </c>
    </row>
    <row r="17">
      <c r="A17" s="14" t="inlineStr">
        <is>
          <t>- 동등하게 중요: 1</t>
        </is>
      </c>
    </row>
    <row r="18">
      <c r="A18" s="14" t="inlineStr">
        <is>
          <t>- 오른쪽 항목이 약간 중요: 0.3333 (=1/3)</t>
        </is>
      </c>
    </row>
    <row r="19">
      <c r="A19" s="14" t="inlineStr">
        <is>
          <t>- 오른쪽 항목이 강하게 중요: 0.2 (=1/5)</t>
        </is>
      </c>
    </row>
    <row r="20">
      <c r="A20" s="14" t="inlineStr">
        <is>
          <t>- 오른쪽 항목이 매우 중요: 0.1429 (=1/7)</t>
        </is>
      </c>
    </row>
    <row r="21">
      <c r="A21" s="14" t="inlineStr">
        <is>
          <t>- 오른쪽 항목이 절대적으로 중요: 0.1111 (=1/9)</t>
        </is>
      </c>
    </row>
    <row r="23">
      <c r="A23" s="28" t="inlineStr">
        <is>
          <t>시트 구성</t>
        </is>
      </c>
      <c r="B23" s="29" t="n"/>
      <c r="C23" s="29" t="n"/>
      <c r="D23" s="29" t="n"/>
      <c r="E23" s="29" t="n"/>
      <c r="F23" s="29" t="n"/>
      <c r="G23" s="29" t="n"/>
      <c r="H23" s="30" t="n"/>
    </row>
    <row r="24">
      <c r="A24" s="14" t="inlineStr">
        <is>
          <t>- 응답데이터: 설문 응답 원시 데이터 입력 (최대 30명)</t>
        </is>
      </c>
    </row>
    <row r="25">
      <c r="A25" s="14" t="inlineStr">
        <is>
          <t>- AHP분석결과: 쌍대비교행렬, 정규화, 가중치, CI/CR 자동 계산</t>
        </is>
      </c>
    </row>
    <row r="26">
      <c r="A26" s="14" t="inlineStr">
        <is>
          <t>- 종합순위: 글로벌 가중치 및 18개 정책요인 종합순위</t>
        </is>
      </c>
    </row>
    <row r="27">
      <c r="A27" s="14" t="inlineStr">
        <is>
          <t>- 차트분석: 막대, 레이더, 파이, 카테고리별 차트 (10개)</t>
        </is>
      </c>
    </row>
    <row r="28">
      <c r="A28" s="14" t="inlineStr">
        <is>
          <t>- 한계및결론: 논문용 한계점, 결론, 정책적 시사점</t>
        </is>
      </c>
    </row>
    <row r="29">
      <c r="A29" s="14" t="inlineStr">
        <is>
          <t>- 사용안내: 본 시트 (사용 방법 안내)</t>
        </is>
      </c>
    </row>
    <row r="31">
      <c r="A31" s="28" t="inlineStr">
        <is>
          <t>주의사항</t>
        </is>
      </c>
      <c r="B31" s="29" t="n"/>
      <c r="C31" s="29" t="n"/>
      <c r="D31" s="29" t="n"/>
      <c r="E31" s="29" t="n"/>
      <c r="F31" s="29" t="n"/>
      <c r="G31" s="29" t="n"/>
      <c r="H31" s="30" t="n"/>
    </row>
    <row r="32">
      <c r="A32" s="14" t="inlineStr">
        <is>
          <t>- 응답데이터 입력 시 빈 행이 중간에 있으면 기하평균 계산에 영향을 줄 수 있습니다.</t>
        </is>
      </c>
    </row>
    <row r="33">
      <c r="A33" s="14" t="inlineStr">
        <is>
          <t>- CR &gt; 0.1인 경우 해당 응답의 일관성이 부족하므로 재설문을 권장합니다.</t>
        </is>
      </c>
    </row>
    <row r="34">
      <c r="A34" s="14" t="inlineStr">
        <is>
          <t>- 개별 응답자의 CR을 확인하려면 각 응답자 데이터를 개별적으로 분석해야 합니다.</t>
        </is>
      </c>
    </row>
    <row r="35">
      <c r="A35" s="14" t="inlineStr">
        <is>
          <t>- 엑셀 수식이 포함되어 있으므로 셀 서식을 변경하지 마세요.</t>
        </is>
      </c>
    </row>
  </sheetData>
  <mergeCells count="31">
    <mergeCell ref="A9:H9"/>
    <mergeCell ref="A15:H15"/>
    <mergeCell ref="A24:H24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33:H33"/>
    <mergeCell ref="A14:H14"/>
    <mergeCell ref="A5:H5"/>
    <mergeCell ref="A23:H23"/>
    <mergeCell ref="A32:H32"/>
    <mergeCell ref="A8:H8"/>
    <mergeCell ref="A17:H17"/>
    <mergeCell ref="A4:H4"/>
    <mergeCell ref="A29:H29"/>
    <mergeCell ref="A35:H35"/>
    <mergeCell ref="A20:H20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2026-05-18T04:47:56Z</dcterms:created>
  <dcterms:modified xmlns:dcterms="http://purl.org/dc/terms/" xmlns:xsi="http://www.w3.org/2001/XMLSchema-instance" xsi:type="dcterms:W3CDTF">2026-05-18T04:48:06Z</dcterms:modified>
</cp:coreProperties>
</file>